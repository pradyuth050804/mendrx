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 sheetId="1" r:id="rId4"/>
    <sheet state="visible" name="DM" sheetId="2" r:id="rId5"/>
    <sheet state="visible" name="NDM" sheetId="3" r:id="rId6"/>
    <sheet state="visible" name="DF" sheetId="4" r:id="rId7"/>
    <sheet state="visible" name="ST" sheetId="5" r:id="rId8"/>
    <sheet state="visible" name="Sheet5" sheetId="6" r:id="rId9"/>
    <sheet state="visible" name="Sheet1" sheetId="7" r:id="rId10"/>
  </sheets>
  <definedNames>
    <definedName hidden="1" localSheetId="0" name="_xlnm._FilterDatabase">OR!$G$1:$G$1000</definedName>
    <definedName hidden="1" localSheetId="1" name="_xlnm._FilterDatabase">DM!$A$1:$Z$73</definedName>
    <definedName hidden="1" localSheetId="5" name="_xlnm._FilterDatabase">Sheet5!$A$1:$Z$131</definedName>
  </definedNames>
  <calcPr/>
  <extLst>
    <ext uri="GoogleSheetsCustomDataVersion2">
      <go:sheetsCustomData xmlns:go="http://customooxmlschemas.google.com/" r:id="rId11" roundtripDataChecksum="dCA4ru+AAlp0ZeEcvAS7bLC6LIYpSoW4nTgbasgAKkQ="/>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
ID#AAABho5aCcQ
    (2025-04-10 16:12:13)
blood protein that carries oxygen</t>
      </text>
    </comment>
  </commentList>
  <extLst>
    <ext uri="GoogleSheetsCustomDataVersion2">
      <go:sheetsCustomData xmlns:go="http://customooxmlschemas.google.com/" r:id="rId1" roundtripDataSignature="AMtx7mi/MB12WqyadCwFzh3wVQS8zX/ZR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
      <text>
        <t xml:space="preserve">======
ID#AAABho5aCcU
    (2025-04-10 16:12:13)
blood protein that carries oxygen</t>
      </text>
    </comment>
  </commentList>
  <extLst>
    <ext uri="GoogleSheetsCustomDataVersion2">
      <go:sheetsCustomData xmlns:go="http://customooxmlschemas.google.com/" r:id="rId1" roundtripDataSignature="AMtx7mhclQHqjNHKhm7YWjbUw0cUoH58ZA=="/>
    </ext>
  </extLst>
</comments>
</file>

<file path=xl/sharedStrings.xml><?xml version="1.0" encoding="utf-8"?>
<sst xmlns="http://schemas.openxmlformats.org/spreadsheetml/2006/main" count="2781" uniqueCount="1310">
  <si>
    <t>Parameter Name</t>
  </si>
  <si>
    <t>Min Male</t>
  </si>
  <si>
    <t>Max Male</t>
  </si>
  <si>
    <t>Min Female</t>
  </si>
  <si>
    <t>Max Female</t>
  </si>
  <si>
    <t>Unit</t>
  </si>
  <si>
    <t>Panel</t>
  </si>
  <si>
    <t>Min chart value</t>
  </si>
  <si>
    <t>Max chart value</t>
  </si>
  <si>
    <t>Short Desc</t>
  </si>
  <si>
    <t>calibration</t>
  </si>
  <si>
    <t>Tolerant low</t>
  </si>
  <si>
    <t>Tolerant high</t>
  </si>
  <si>
    <t>Standard Min Male</t>
  </si>
  <si>
    <t>Standard Max Male</t>
  </si>
  <si>
    <t>Standard Min Female</t>
  </si>
  <si>
    <t>Standard Max Female</t>
  </si>
  <si>
    <t>Haemoglobin</t>
  </si>
  <si>
    <t>PCV/Hematocrit</t>
  </si>
  <si>
    <t>Blood Health</t>
  </si>
  <si>
    <t>Protein in red blood cells that carries oxygen from the lungs to tissues and organs, vital for energy and cellular function.</t>
  </si>
  <si>
    <t>Primary</t>
  </si>
  <si>
    <t>RBC</t>
  </si>
  <si>
    <t>x10^6 cells/ul</t>
  </si>
  <si>
    <t>Red blood cells, responsible for transporting oxygen throughout the body and removing carbon dioxide from tissues.</t>
  </si>
  <si>
    <t>Hematocrit</t>
  </si>
  <si>
    <t>%</t>
  </si>
  <si>
    <t>Measures the percentage of red blood cells in blood, helping to assess blood's oxygen-carrying capacity and hydration levels.</t>
  </si>
  <si>
    <t>Secondary</t>
  </si>
  <si>
    <t>MCV</t>
  </si>
  <si>
    <t>fL/cell</t>
  </si>
  <si>
    <t>Mean Corpuscular Volume, indicating the average size of red blood cells, essential for diagnosing types of anemia.</t>
  </si>
  <si>
    <t>MCH</t>
  </si>
  <si>
    <t>pg/ml</t>
  </si>
  <si>
    <t>Mean Corpuscular Hemoglobin, shows the amount of hemoglobin in each red blood cell, aiding in evaluating anemia and other blood disorders.</t>
  </si>
  <si>
    <t>MCHC</t>
  </si>
  <si>
    <t>g/dL</t>
  </si>
  <si>
    <t>Mean Corpuscular Hemoglobin Concentration, reflects hemoglobin concentration in red blood cells, useful for assessing certain types of anemia.</t>
  </si>
  <si>
    <t>RDW</t>
  </si>
  <si>
    <t>Red Cell Distribution Width, indicating variation in red blood cell size, used to diagnose anemia and bone marrow disorders.</t>
  </si>
  <si>
    <t>Platelets</t>
  </si>
  <si>
    <t>10^3/uL</t>
  </si>
  <si>
    <t>Cells involved in blood clotting, essential for preventing excessive bleeding and supporting wound healing.</t>
  </si>
  <si>
    <t>Prothrombin Time</t>
  </si>
  <si>
    <t>Sec</t>
  </si>
  <si>
    <t>Coagulation Markers</t>
  </si>
  <si>
    <t>Measures the time taken for blood to clot, helping assess bleeding risk and liver function.</t>
  </si>
  <si>
    <t>Partial Thromboplastin Time</t>
  </si>
  <si>
    <t>sec</t>
  </si>
  <si>
    <t>Evaluates blood clotting ability, useful for diagnosing bleeding disorders or monitoring blood-thinning treatments.</t>
  </si>
  <si>
    <t>Fibrinogen</t>
  </si>
  <si>
    <t>mg/dl</t>
  </si>
  <si>
    <t>A protein involved in blood clot formation, crucial for wound healing and preventing excessive bleeding.</t>
  </si>
  <si>
    <t>Fasting Blood Glucose</t>
  </si>
  <si>
    <t>Glucose Metabolism</t>
  </si>
  <si>
    <t>Measures blood sugar after fasting, indicating how well the body regulates blood sugar levels, crucial for diabetes management.</t>
  </si>
  <si>
    <t>Post Prandial Blood Glucose</t>
  </si>
  <si>
    <t>Blood sugar level measured after a meal, providing insight into how effectively the body manages sugar intake.</t>
  </si>
  <si>
    <t>HbA1c</t>
  </si>
  <si>
    <t>Reflects average blood glucose levels over 2-3 months, a key indicator for diabetes management.</t>
  </si>
  <si>
    <t>C-Peptide</t>
  </si>
  <si>
    <t>ng/ml</t>
  </si>
  <si>
    <t>Measures insulin production by the pancreas, helpful in assessing diabetes type and pancreatic function.</t>
  </si>
  <si>
    <t>Fasting Insulin</t>
  </si>
  <si>
    <t>µIU/ml</t>
  </si>
  <si>
    <t>Indicates insulin levels after fasting, essential for evaluating insulin sensitivity and blood sugar control.</t>
  </si>
  <si>
    <t>Post Prandial Insulin</t>
  </si>
  <si>
    <t>Insulin level after a meal, showing how well the body responds to food intake and regulates blood sugar.</t>
  </si>
  <si>
    <t>HOMA-IR 2</t>
  </si>
  <si>
    <t>Homeostatic Model Assessment for Insulin Resistance, helps determine insulin resistance level, associated with metabolic health.</t>
  </si>
  <si>
    <t>Total Cholesterol</t>
  </si>
  <si>
    <t>mg/DI</t>
  </si>
  <si>
    <t>Heart Health</t>
  </si>
  <si>
    <t>Overall cholesterol level in the blood, important for assessing heart disease risk.</t>
  </si>
  <si>
    <t>LDL</t>
  </si>
  <si>
    <t>Low-Density Lipoprotein, often referred to as "bad" cholesterol, which can build up in arteries and lead to heart disease.</t>
  </si>
  <si>
    <t>HDL</t>
  </si>
  <si>
    <t>mg/Dl</t>
  </si>
  <si>
    <t>High-Density Lipoprotein, known as "good" cholesterol, which helps remove LDL cholesterol from the bloodstream.</t>
  </si>
  <si>
    <t>Triglycerides</t>
  </si>
  <si>
    <t>Type of fat in the blood, providing energy but potentially increasing heart disease risk if levels are too high.</t>
  </si>
  <si>
    <t>D-Dimer</t>
  </si>
  <si>
    <t>mg/L FEU</t>
  </si>
  <si>
    <t>Measures blood clot breakdown, used to diagnose or rule out clotting disorders like deep vein thrombosis (DVT).</t>
  </si>
  <si>
    <t>Homocysteine</t>
  </si>
  <si>
    <t>µmol/L</t>
  </si>
  <si>
    <t>Amino acid level linked to heart health, as elevated levels may increase cardiovascular disease risk.</t>
  </si>
  <si>
    <t>Estrogen (Estradiol)</t>
  </si>
  <si>
    <t>Hormones</t>
  </si>
  <si>
    <t>Primary female sex hormone, playing a critical role in reproductive and sexual health.</t>
  </si>
  <si>
    <t>Progesterone</t>
  </si>
  <si>
    <t>ng/mL</t>
  </si>
  <si>
    <t>Hormone essential for regulating menstrual cycles and supporting pregnancy.</t>
  </si>
  <si>
    <t>Prolactin</t>
  </si>
  <si>
    <t>ng/mL (mcg/L)</t>
  </si>
  <si>
    <t>Hormone involved in breast milk production and reproductive health, with abnormal levels indicating possible endocrine issues.</t>
  </si>
  <si>
    <t>FSH</t>
  </si>
  <si>
    <t>mIU/mL</t>
  </si>
  <si>
    <t>Follicle-Stimulating Hormone, crucial for reproductive health, regulating growth and development of eggs in ovaries or sperm in testes.</t>
  </si>
  <si>
    <t>LH</t>
  </si>
  <si>
    <t>IU/L</t>
  </si>
  <si>
    <t>Luteinizing Hormone, vital for reproductive function, triggering ovulation in females and testosterone production in males.</t>
  </si>
  <si>
    <t>Testosterone</t>
  </si>
  <si>
    <t>ng/dl</t>
  </si>
  <si>
    <t>Primary male sex hormone, essential for reproductive health, muscle mass, and bone strength.</t>
  </si>
  <si>
    <t>DHEAS</t>
  </si>
  <si>
    <t>mcg/dL</t>
  </si>
  <si>
    <t>Dehydroepiandrosterone Sulfate, an adrenal hormone involved in the development of male and female secondary sexual characteristics.</t>
  </si>
  <si>
    <t>Cortisol</t>
  </si>
  <si>
    <t>mcg/dl</t>
  </si>
  <si>
    <t>"Stress hormone" affecting metabolism, immune response, and blood pressure regulation.</t>
  </si>
  <si>
    <t>HS-CRP</t>
  </si>
  <si>
    <t>mg/l</t>
  </si>
  <si>
    <t>Infection and Inflammation</t>
  </si>
  <si>
    <t>High-Sensitivity C-Reactive Protein, indicating inflammation in the body, used to assess heart disease risk.</t>
  </si>
  <si>
    <t>ESR</t>
  </si>
  <si>
    <t>mm/hr</t>
  </si>
  <si>
    <t>Erythrocyte Sedimentation Rate, showing inflammation in the body, often elevated in infections or inflammatory conditions.</t>
  </si>
  <si>
    <t>WBC</t>
  </si>
  <si>
    <t>*10E3/uL</t>
  </si>
  <si>
    <t>White Blood Cell count, representing immune system activity and used to detect infection or immune disorders.</t>
  </si>
  <si>
    <t>Neutrophils - Relative</t>
  </si>
  <si>
    <t>Measures percentage of neutrophils (a type of WBC), critical for fighting bacterial infections.</t>
  </si>
  <si>
    <t>Neutrophils - Absolute</t>
  </si>
  <si>
    <t>Absolute count of neutrophils, essential for identifying infection or inflammation.</t>
  </si>
  <si>
    <t>Lymphocytes - Relative</t>
  </si>
  <si>
    <t>Measures percentage of lymphocytes (a type of WBC), key in viral infection defense and immune response.</t>
  </si>
  <si>
    <t>Lymphocytes - Absolute</t>
  </si>
  <si>
    <t>Absolute count of lymphocytes, useful in diagnosing infections and immune disorders.</t>
  </si>
  <si>
    <t>Monocytes - Relative</t>
  </si>
  <si>
    <t>Measures percentage of monocytes, important for immune defense against infections and inflammation.</t>
  </si>
  <si>
    <t>Monocytes - Absolute</t>
  </si>
  <si>
    <t>Absolute count of monocytes, used to diagnose infections or inflammatory conditions.</t>
  </si>
  <si>
    <t>Eosinophils - Relative</t>
  </si>
  <si>
    <t>Measures percentage of eosinophils, involved in allergic reactions and parasitic infections defense.</t>
  </si>
  <si>
    <t>Eosinophils - Absolute</t>
  </si>
  <si>
    <t>Absolute count of eosinophils, useful in diagnosing allergies and parasitic infections.</t>
  </si>
  <si>
    <t>Basophils</t>
  </si>
  <si>
    <t>Type of WBC involved in immune response, particularly in allergic reactions.</t>
  </si>
  <si>
    <t>Neutrophil/Lymphocyte ratio</t>
  </si>
  <si>
    <t>Ratio of neutrophils to lymphocytes, often used as an inflammation or infection marker.</t>
  </si>
  <si>
    <t>LDH</t>
  </si>
  <si>
    <t>U/L</t>
  </si>
  <si>
    <t>Lactate Dehydrogenase, enzyme indicating tissue damage, especially in heart, liver, and kidneys.</t>
  </si>
  <si>
    <t>Interleukin-6 (IL-6)</t>
  </si>
  <si>
    <t>Inflammatory cytokine, elevated levels are associated with inflammation and immune response.</t>
  </si>
  <si>
    <t>Iron</t>
  </si>
  <si>
    <t>Iron Profile</t>
  </si>
  <si>
    <t>Essential mineral for oxygen transport in blood, supports energy production and immune function.</t>
  </si>
  <si>
    <t>TIBC</t>
  </si>
  <si>
    <t>Total Iron-Binding Capacity, measuring blood's capacity to bind iron, helping assess iron deficiency or overload.</t>
  </si>
  <si>
    <t>% Saturation</t>
  </si>
  <si>
    <t>Indicates the percentage of iron-binding sites occupied by iron, important in evaluating iron status.</t>
  </si>
  <si>
    <t>Ferritin</t>
  </si>
  <si>
    <t>Iron storage protein, used to assess iron reserves in the body, often checked for anemia diagnosis.</t>
  </si>
  <si>
    <t>Uric acid</t>
  </si>
  <si>
    <t>Kidney Health</t>
  </si>
  <si>
    <t>Waste product from purine breakdown, with high levels potentially indicating gout or kidney issues.</t>
  </si>
  <si>
    <t>Total Creatinine</t>
  </si>
  <si>
    <t>mg/dL</t>
  </si>
  <si>
    <t>Waste product in blood from muscle activity, a key measure of kidney function.</t>
  </si>
  <si>
    <t>BUN</t>
  </si>
  <si>
    <t>Blood Urea Nitrogen, measures waste in blood, providing insight into kidney and liver function.</t>
  </si>
  <si>
    <t>Calcium</t>
  </si>
  <si>
    <t>Vital mineral for bone health, muscle contraction, and nerve function.</t>
  </si>
  <si>
    <t>Sodium</t>
  </si>
  <si>
    <t>mmol/l</t>
  </si>
  <si>
    <t>Electrolyte essential for fluid balance, nerve signaling, and muscle function.</t>
  </si>
  <si>
    <t>Potassium</t>
  </si>
  <si>
    <t>Electrolyte crucial for muscle and heart function, nerve signaling, and cell function.</t>
  </si>
  <si>
    <t>Chloride</t>
  </si>
  <si>
    <t>Electrolyte involved in fluid balance, acid-base balance, and nerve transmission.</t>
  </si>
  <si>
    <t>Phosphorus</t>
  </si>
  <si>
    <t>Mineral essential for bone health, energy production, and cell repair.</t>
  </si>
  <si>
    <t>Magnesium</t>
  </si>
  <si>
    <t>Mineral vital for muscle and nerve function, energy production, and maintaining normal heart rhythm.</t>
  </si>
  <si>
    <t>Osmolarity</t>
  </si>
  <si>
    <t>mOsm/kg</t>
  </si>
  <si>
    <t>Measure of solute concentration in blood, used to assess hydration and kidney function.</t>
  </si>
  <si>
    <t>Viscosity</t>
  </si>
  <si>
    <t>Measure of blood thickness, important for assessing circulation health and clotting risk.</t>
  </si>
  <si>
    <t>CREATININE - URINE</t>
  </si>
  <si>
    <t>Creatinine in urine, used to evaluate kidney function and muscle health.</t>
  </si>
  <si>
    <t>Total Bilirubin</t>
  </si>
  <si>
    <t>Liver Health</t>
  </si>
  <si>
    <t>Waste product from red blood cell breakdown, helps assess liver function and bile duct health.</t>
  </si>
  <si>
    <t>Fatty Liver Index</t>
  </si>
  <si>
    <t>Assesses likelihood of fatty liver disease based on blood parameters, body measurements, and metabolic health.</t>
  </si>
  <si>
    <t>ALT (SGPT)</t>
  </si>
  <si>
    <t>Liver enzyme indicating liver health, elevated levels may suggest liver inflammation or damage.</t>
  </si>
  <si>
    <t>AST (SGOT)</t>
  </si>
  <si>
    <t>Enzyme found in liver and muscles, elevated levels may indicate liver or muscle damage.</t>
  </si>
  <si>
    <t>Alkaline Phosphatase</t>
  </si>
  <si>
    <t>Enzyme related to bile ducts and bone health, often checked in liver and bone disease diagnosis.</t>
  </si>
  <si>
    <t>Total Protein</t>
  </si>
  <si>
    <t>Combined level of proteins in blood, essential for immune function, muscle health, and enzyme function.</t>
  </si>
  <si>
    <t>Albumin</t>
  </si>
  <si>
    <t>Protein produced by the liver, helps maintain fluid balance and transport nutrients.</t>
  </si>
  <si>
    <t>Globulin</t>
  </si>
  <si>
    <t>Group of proteins in blood that help fight infections and carry nutrients.</t>
  </si>
  <si>
    <t>GGT</t>
  </si>
  <si>
    <t>Gamma-Glutamyl Transferase, enzyme indicating liver function and bile duct health.</t>
  </si>
  <si>
    <t>T3-Total</t>
  </si>
  <si>
    <t>Thyroid Health</t>
  </si>
  <si>
    <t>Active thyroid hormone regulating metabolism, energy, and body temperature.</t>
  </si>
  <si>
    <t>Free T3</t>
  </si>
  <si>
    <t>T4-Total</t>
  </si>
  <si>
    <t>μg/dL</t>
  </si>
  <si>
    <t>Thyroid hormone influencing metabolism and energy production, converted to T3 in the body.</t>
  </si>
  <si>
    <t>Free T4</t>
  </si>
  <si>
    <t>Ultrasensitive TSH</t>
  </si>
  <si>
    <t>Thyroid-Stimulating Hormone, controls thyroid hormone production, essential for energy and metabolic balance.</t>
  </si>
  <si>
    <t>Selenium</t>
  </si>
  <si>
    <t>ug/L</t>
  </si>
  <si>
    <t>Antioxidant mineral supporting thyroid health, immunity, and cellular protection.</t>
  </si>
  <si>
    <t>Vitamin D</t>
  </si>
  <si>
    <t>Vitamins</t>
  </si>
  <si>
    <t>Essential for bone health, immune function, and calcium absorption.</t>
  </si>
  <si>
    <t>Vitamin B12</t>
  </si>
  <si>
    <t>pg/mL</t>
  </si>
  <si>
    <t>Vital for nerve function, red blood cell production, and DNA synthesis, preventing anemia and nerve damage.</t>
  </si>
  <si>
    <t>Lead</t>
  </si>
  <si>
    <t>µg/L</t>
  </si>
  <si>
    <t>Toxic Elements</t>
  </si>
  <si>
    <t>Neurotoxic at elevated levels; affects kidneys and heart.</t>
  </si>
  <si>
    <t>Mercury</t>
  </si>
  <si>
    <t>Linked to cognitive impairments; neurotoxic.</t>
  </si>
  <si>
    <t>Arsenic</t>
  </si>
  <si>
    <t>Can cause cancer and organ damage at high levels.</t>
  </si>
  <si>
    <t>Cadmium</t>
  </si>
  <si>
    <t>Toxic to kidneys and bones.</t>
  </si>
  <si>
    <t>Aluminum</t>
  </si>
  <si>
    <t>May contribute to neurotoxicity and bone issues.</t>
  </si>
  <si>
    <t>Thallium</t>
  </si>
  <si>
    <t>Affects the nervous system, heart, and kidneys.</t>
  </si>
  <si>
    <t>Antimony</t>
  </si>
  <si>
    <t>Respiratory irritant; toxic at high levels.</t>
  </si>
  <si>
    <t>Beryllium</t>
  </si>
  <si>
    <t>Impacts lungs and immune system.</t>
  </si>
  <si>
    <t>Uranium</t>
  </si>
  <si>
    <t>Nephrotoxic; affects kidney function.</t>
  </si>
  <si>
    <t>Tin</t>
  </si>
  <si>
    <t>Impacts neurological and immune health if elevated.</t>
  </si>
  <si>
    <t>Nickel</t>
  </si>
  <si>
    <t>Causes respiratory or skin issues in high amounts.</t>
  </si>
  <si>
    <t>Chromium</t>
  </si>
  <si>
    <t>Toxic in hexavalent form; damages organs.</t>
  </si>
  <si>
    <t>Cobalt</t>
  </si>
  <si>
    <t>Excessive levels affect the heart and thyroid.</t>
  </si>
  <si>
    <t>Anti-TPO</t>
  </si>
  <si>
    <t>IU/mL</t>
  </si>
  <si>
    <t>Elevated levels indicate autoimmune thyroid conditions like Hashimoto's or Graves'.</t>
  </si>
  <si>
    <t>Anti-TgAb</t>
  </si>
  <si>
    <t>High levels suggest autoimmune thyroid dysfunction or chronic inflammation.</t>
  </si>
  <si>
    <t>IgE</t>
  </si>
  <si>
    <t>IgE is the part of immune system that’s responsible for triggering allergies and fighting certain infections.</t>
  </si>
  <si>
    <t>APO - B</t>
  </si>
  <si>
    <t>APO B provides a direct measure of particle concentration, offering a more accurate assessment of cardiovascular risk</t>
  </si>
  <si>
    <t>APO - A1</t>
  </si>
  <si>
    <t>APO-A1 is the main protein in HDL cholesterol and plays a critical role in removing excess cholesterol from the arteries, protecting against atherosclerosis</t>
  </si>
  <si>
    <t>Lipoprotein (a)</t>
  </si>
  <si>
    <t>Elevated Lp(a) levels are a significant independent risk factor for cardiovascular diseases, including atherosclerosis, heart attack, and stroke.</t>
  </si>
  <si>
    <t>Anti CCP</t>
  </si>
  <si>
    <t>U/mL</t>
  </si>
  <si>
    <t>Autoimmune Disease</t>
  </si>
  <si>
    <t>It is an antibody that the immune system produces, often found in individuals with Rheumatoid Arthritis (RA).</t>
  </si>
  <si>
    <t>Anti Nuclear Antibodies (ANA)</t>
  </si>
  <si>
    <t>AU/mL</t>
  </si>
  <si>
    <t>Detects autoimmune activity where the immune system attacks the body's own cells.</t>
  </si>
  <si>
    <t>RA factor (Rheumatoid factor)</t>
  </si>
  <si>
    <t>It is a chronic autoimmune disease</t>
  </si>
  <si>
    <t>Creatine Kinase (CK)</t>
  </si>
  <si>
    <t>Creatine Kinase (CK) is an enzyme found in your muscles, heart, and brain. It plays a key role in providing energy to your muscles.</t>
  </si>
  <si>
    <t>High Comments</t>
  </si>
  <si>
    <t>Low Comments</t>
  </si>
  <si>
    <t>High Habits</t>
  </si>
  <si>
    <t>Low Habits</t>
  </si>
  <si>
    <t>Dehydration,High Testosterone,Poor Oxygenation</t>
  </si>
  <si>
    <t>Thiamine (Vitamin B1) Deficiency,Insulin Resistance,Liver Dysfunction,Hypothyroidism,Protein Deficiency,Inflammation/Infection,Nutrient Deficiencies,Low (Iron | Copper | Selenium | Vitamin E | Zinc | Magnesium | Vitamin B12 | Folate (Vitamin B9) | Vitamin B6 | Vitamin A)</t>
  </si>
  <si>
    <t/>
  </si>
  <si>
    <t>PCV</t>
  </si>
  <si>
    <t>Vitamin B12 deficiency,Folate (Vitamin B9) deficiency,Vitamin C deficiency,Liver dysfunction,Megaloblastic Anemia</t>
  </si>
  <si>
    <t>Iron deficiency,Copper deficiency,Zinc deficiency,Vitamin B6 deficiency,Vitamin C deficiency,Vitamin A deficiency,Lead poisoning</t>
  </si>
  <si>
    <t>Alcohol</t>
  </si>
  <si>
    <t>Likely anemia of nutrient deficiency (Iron | Folate | Vitamin B12)</t>
  </si>
  <si>
    <t>Liver dysfunction,Inflammation,Blood transfusion,Bleeding (GI),Sleep disturbances</t>
  </si>
  <si>
    <t>Iron-deficient anemia,Stress,Infection,Inflammation,Collagen disease,Cancer prognosis</t>
  </si>
  <si>
    <t>Alcoholism,Viral infection,Liver dysfunction,Pernicious anemia,Bleeding,Hemosiderosis,Hemochromatosis,Hemolytic anemia,Vitamin B6 deficiency,Oral contraceptive pills (OCP),Hard water (high TDS),Elevated estrogen</t>
  </si>
  <si>
    <t>Iron overload</t>
  </si>
  <si>
    <t>Poor iron intake and/or absorption,Blood loss,Anemia</t>
  </si>
  <si>
    <t>Iron deficiency,Chronic infection,Chronic disease,Externally elevated estrogen administration</t>
  </si>
  <si>
    <t>Infection (acute/recent),Possible endothelial dysfunction,Peripheral artery disease,Excess weight,Insulin resistance,Zinc deficiency</t>
  </si>
  <si>
    <t>Infection (chronic),Pernicious anemia,Chronic inflammation</t>
  </si>
  <si>
    <t>Bacterial infection and/or inflammation,Fungal infection,Parasitic infection,Stress,Smoking</t>
  </si>
  <si>
    <t>Copper deficiency,Vitamin B12/Folate deficiency</t>
  </si>
  <si>
    <t>Smoking</t>
  </si>
  <si>
    <t>Viral infections,Autoimmune condition (Crohn's disease | other autoimmune condition),Hypoadrenalism</t>
  </si>
  <si>
    <t>Zinc deficiency,Elevation of other WBCs,Steroid use</t>
  </si>
  <si>
    <t>Generalized systemic inflammation,Collagen disease (RA),Ulcerative colitis,Recovery after infection/trauma</t>
  </si>
  <si>
    <t>Vitamin B12 deficiency</t>
  </si>
  <si>
    <t>Parasitic infection (tapeworm),Biliary cirrhosis,Allergies,Asthma,Hypoadrenalism,Chronic skin disease,Ulcerative colitis,Aspirin sensitivity</t>
  </si>
  <si>
    <t>Vitamin D deficiency,Sepsis,Infections (chronic)</t>
  </si>
  <si>
    <t>Inflammation,Allergy,Chronic hemolytic anemia,Hypothyroidism,Infection (bacterial,viral,parasitic)</t>
  </si>
  <si>
    <t>N/A</t>
  </si>
  <si>
    <t>Neutrophil/Lymphocyte Ratio</t>
  </si>
  <si>
    <t>Increased risk of acute myocardial infarction,Severity of coronary heart disease,Insulin resistance,Hypertension,Obesity,Endothelial dysfunction</t>
  </si>
  <si>
    <t>Differentiator for bacterial vs. viral infection</t>
  </si>
  <si>
    <t>Inflammation,Infections,Lifestyle habits (smoking | poor sleep),Stress,Trans fat consumption,Vitamin D deficiency,High leptin</t>
  </si>
  <si>
    <t>Inflammation/Infections,Anemia,Insulin resistance,Excess weight,Hyperlipidemia,Thyroid dysfunction,Liver dysfunction</t>
  </si>
  <si>
    <t>Hemochromatosis,Inflammation,Liver disease/dysfunction,Hemolytic anemia,Sideroblastic anemia</t>
  </si>
  <si>
    <t>Poor Absorption,Chronic blood loss,Chronic infection</t>
  </si>
  <si>
    <t>Birth control pills (OCP)</t>
  </si>
  <si>
    <t>Over-supplementation,Excess sunlight</t>
  </si>
  <si>
    <t>Inflammation/infection,Inadequate sun exposure,Gut disorders (malabsorption),Liver dysfunction,Kidney disease,Strict vegan diets,Obesity/excess weight</t>
  </si>
  <si>
    <t>Blood disorders,Alcohol intake,Kidney disease,Supplementation,Hepatitis C,Liver cirrhosis,Autoimmune condition (Gaucher's | Lupus | Arthritis | Still's disease),Diabetes</t>
  </si>
  <si>
    <t>Digestive inflammation,Inflammatory bowel disease (IBD),Autoimmune thyroid disease,Medications (NSAIDs),Poor Absorption,Infection</t>
  </si>
  <si>
    <t>Uric Acid</t>
  </si>
  <si>
    <t>Attempt to attenuate oxidative stress,Gout,Kidney dysfunction,Starvation/extreme calorie restriction,Alcohol intake,Hypothyroidism,Hyperlipidemia,Liver dysfunction/gallstones,Hemolytic anemia,Excess fructose,Elevated insulin,Chronically elevated serum glucose,Fungal infection,Ketogenic diet,High purines/fructose diet,Excess weight,Vitamin D deficiency,Lead poisoning,Dehydration</t>
  </si>
  <si>
    <t>Low purine intake,Unchecked oxidative stress</t>
  </si>
  <si>
    <t>Oxidative stress,Methylation dysfunction,Vitamin B12,B6,Folate deficiency,Renal dysfunction,Stress,Autoimmune condition,Smoking,Thyroid dysfunction,Chronic periodontitis</t>
  </si>
  <si>
    <t>Over-supplementation (organ meats | seafood | Brazil nuts),Vitamin C intake/supplementation,Vitamin D supplementation</t>
  </si>
  <si>
    <t>Lack of Se in diet,Vitamin E deficiency,High PUFA intake,Zinc and Copper deficiency</t>
  </si>
  <si>
    <t>Insulin resistance,Pancreatic dysfunction,Hyperthyroidism,Hyperadrenal dysfunction,Excess weight,Liver dysfunction,Illness/injury/surgery,Poor sleep quality,Smoking,Chronic toxic exposure,Air pollution,H. pylori,Alcohol intake,Hypopituitarism/hypoadrenal dysfunction,Hypothyroidism,Vitamin B6 deficiency,Carnitine deficiency (vegan/vegetarian),Vitamin C deficiency,Iron deficiency</t>
  </si>
  <si>
    <t>Alcohol, Smoking</t>
  </si>
  <si>
    <t>Post-Prandial Blood Glucose</t>
  </si>
  <si>
    <t>C-peptide</t>
  </si>
  <si>
    <t>Insulin resistance,Excess weight,Pancreatic dysfunction,Beta-cell destruction</t>
  </si>
  <si>
    <t>If low,run islet cell and insulin antibodies</t>
  </si>
  <si>
    <t>Insulin resistance,Potassium deficiency,Excess weight</t>
  </si>
  <si>
    <t>Post-Prandial Insulin</t>
  </si>
  <si>
    <t>Hyperinsulinemia,Insulin resistance</t>
  </si>
  <si>
    <t>HOMA-IR</t>
  </si>
  <si>
    <t>Insulin resistance,Blood sugar dysregulation</t>
  </si>
  <si>
    <t>Reactive Hypoglycemia</t>
  </si>
  <si>
    <t>Sympathetic/adrenalinergic symptoms (anxiety | palpitations | irritability | tremors | sweating),Neuroglycopenic symptoms (hunger | dizziness | tingling | blurred vision | difficulty thinking | faintness)</t>
  </si>
  <si>
    <t>May crave salt,Craves sweets (corrected after sweets consumption)</t>
  </si>
  <si>
    <t>Liver dysfunction,Hyperthyroidism,Malnutrition/malabsorption,Infection,Manganese deficiency,Medications (statins)</t>
  </si>
  <si>
    <t>High intensity exercise,Alcohol,Inflammation,Intestinal permeability (leaky gut) ,Insulin resistance,Infection,Inflammatory panel,Liver dysfunction,Cholestasis,Low dietary fat intake,Smoking,Lack of physical activity,Excess weight</t>
  </si>
  <si>
    <t>Liver dysfunction,High-intensity exercise,Alcohol,Inflammation,Intestinal permeability (leaky gut)</t>
  </si>
  <si>
    <t>Low dietary fat intake,Smoking,Lack of physical activity,Excess weight,Insulin resistance,Infection,Inflammatory panel,Liver dysfunction,Cholestasis</t>
  </si>
  <si>
    <t>Diet high in calories (carbs | fats),Excess weight,Inactivity,Smoking,Insulin resistance,Liver dysfunction,Inflammation,Infection,Vitamin D deficiency,Hypothyroidism,Externally elevated estrogen,Low fat diet (dysfunctional absorption),Autoimmune conditions (rheumatoid arthritis)</t>
  </si>
  <si>
    <t>Medications (statins)</t>
  </si>
  <si>
    <t>Cholesterol/HDL Ratio</t>
  </si>
  <si>
    <t>Triglycerides/HDL Ratio</t>
  </si>
  <si>
    <t>Bilirubin - Total</t>
  </si>
  <si>
    <t>Excess hemolysis,Hemolytic anemia,Liver dysfunction,Bile duct obstruction,Gilbert's Syndrome</t>
  </si>
  <si>
    <t>Oxidative Stress,Zinc deficiency,Kidney dysfunction,Uremia,Hypertension</t>
  </si>
  <si>
    <t>FLI</t>
  </si>
  <si>
    <t>Methionine/choline deficient diet,Insulin resistance,Oxidative stress,Iron overload,Inflamed fat,Gut dysbiosis,Low thyroid,Toxin exposure (heavy metals | environment)</t>
  </si>
  <si>
    <t>Hepatocellular dysfunction,Biliary issues,Alcohol intake,Excessive weight,Muscle breakdown,Thyroid dysfunction,Infections,Liver damage (toxins)</t>
  </si>
  <si>
    <t>Azotemia (Uremia),Vitamin B6 deficiency,Magnesium deficiency</t>
  </si>
  <si>
    <t>Liver dysfunction,Hypothyroidism</t>
  </si>
  <si>
    <t>Liver obstruction,Liver or biliary cirrhosis (serum bile acid elevated),GI issues (IBD),Hyperphosphatemia,Bone disease (osteosarcoma,bone metastasis,Paget's disease,osteoarthritis),Fracture (temporary elevation),Hyperthyroidism,Hyperparathyroidism,Vitamin D deficiency</t>
  </si>
  <si>
    <t>Zinc or Magnesium deficiency,Malnutrition,Hypothyroidism,Pernicious anemia</t>
  </si>
  <si>
    <t>High ALP - Bone growth (puberty)</t>
  </si>
  <si>
    <t>Dehydration,Immune system issues (increased globulins)</t>
  </si>
  <si>
    <t>Decreased albumin (increased globulin),Poor protein digestion/absorption (Celiac | UC | Crohn's),Liver dysfunction (cirrhosis),Chronic inflammation,Infection (viral)</t>
  </si>
  <si>
    <t>Dehydration</t>
  </si>
  <si>
    <t>Infection (viral),Inflammation,Liver dysfunction,Kidney dysfunction,Malnutrition</t>
  </si>
  <si>
    <t>Infection (viral/bacterial),Autoimmunity,Increased estrogen,Iron deficiency anemia,Hyperlipidemia,Inflammation,Dehydration</t>
  </si>
  <si>
    <t>Liver dysfunction (biliary dysfunction),Cholestasis,Pancreatitis,Oxidative stress</t>
  </si>
  <si>
    <t>Hypothyroidism,Low sodium,Magnesium deficiency</t>
  </si>
  <si>
    <t>Glutathione</t>
  </si>
  <si>
    <t>Depletion marker indicating low antioxidant defenses</t>
  </si>
  <si>
    <t>Kidney dysfunction,Dehydration,Increased muscle mass,Hyperthyroidism,High meat intake</t>
  </si>
  <si>
    <t>Decreased muscle mass,Poor dietary protein intake/absorption,Muscle dystrophy,Malnutrition,Liver dysfunction</t>
  </si>
  <si>
    <t>Urea</t>
  </si>
  <si>
    <t>Kidney dysfunction,High protein diet,Dehydration,Fatty liver (NAFLD),Catabolic states (cancer)</t>
  </si>
  <si>
    <t>Poor protein intake/digestion/absorption,Liver dysfunction,Excess hydration,Vitamin B6 deficiency,Malnutrition</t>
  </si>
  <si>
    <t>Kidney dysfunction,Hyperparathyroidism,Metastasis (cancers),Increased Vitamin D intake,Adrenal insufficiency,Manganese deficiency</t>
  </si>
  <si>
    <t>Poor Absorption,Vitamin D deficiency,Hypoparathyroidism,Magnesium deficiency,Gut disorders,High phosphorous levels,Low protein levels,Menopause</t>
  </si>
  <si>
    <t>Dehydration,Diarrhea,Kidney dysfunction,Diuretics,Hyperaldosteronism</t>
  </si>
  <si>
    <t>High sodium intake</t>
  </si>
  <si>
    <t>Renal failure,Hypoaldosteronism,Hemolysis,Hyperglycemia,Low insulin,Exercise,Supplementation</t>
  </si>
  <si>
    <t>Poor potassium intake,Hyperaldosteronism,Low magnesium,Elevated insulin,Excess fluid loss</t>
  </si>
  <si>
    <t>Kidney dysfunction,Diarrhea,Dehydration</t>
  </si>
  <si>
    <t>Excessive chloride loss (severe vomiting | diuretics | laxatives | diarrhea),Adrenal insufficiency</t>
  </si>
  <si>
    <t>Excessive phosphate load,Vitamin D toxicity,Hypoparathyroidism,Genetics,Kidney dysfunction,Increased dietary intake,Dehydration,Smoking</t>
  </si>
  <si>
    <t>Poor absorption,Vitamin D deficiency,Poor protein digestion,Diarrhea,Elevated insulin</t>
  </si>
  <si>
    <t>Hypermagnesemia,Kidney dysfunction,Hemolysis,Hyperparathyroidism,Dehydration,Hypothyroidism,Hyperadrenalism</t>
  </si>
  <si>
    <t>Poor absorption,Diarrhea,Hypercalcemia,Diabetes/insulin resistance,Low protein diet,Vitamin D deficiency,Vitamin B6 deficiency,Externally elevated estrogen administration</t>
  </si>
  <si>
    <t>Dehydration,Kidney dysfunction</t>
  </si>
  <si>
    <t>Overhydration (cellular level),Excess ADH production,Hypothyroidism,Adrenal insufficiency</t>
  </si>
  <si>
    <t>Dehydration,Silent heart attacks (high inflammation | hypercoagulation),Insulin resistance,Endothelial dysfunction</t>
  </si>
  <si>
    <t>Overhydration,Statins,Blood thinners</t>
  </si>
  <si>
    <t>Hyperthyroidism</t>
  </si>
  <si>
    <t>Thyroid insufficiency,Deficiency of nutrients (selenium | protein | B vitamins),Iron deficiency,Hypoadrenalism,Liver dysfunction,Infections/inflammation,Leptin resistance,Environmental toxins,Fluoride</t>
  </si>
  <si>
    <t>Thyroid insufficiency,Deficiency of nutrients (iodine | L-tyrosine | protein | B vitamins),Hypoadrenalism,Liver dysfunction,Infections/inflammation</t>
  </si>
  <si>
    <t>Hypothyroidism</t>
  </si>
  <si>
    <t>Hyperthyroidism,Grave's disease,Chronic stress,Pituitary dysfunction</t>
  </si>
  <si>
    <t>Hashimoto's disease,Grave's disease</t>
  </si>
  <si>
    <t>TSI</t>
  </si>
  <si>
    <t>Grave's disease</t>
  </si>
  <si>
    <t xml:space="preserve">Iron poisoning,B6 deficiency,Repeated blood transfusions,Liver Dysfunction
Iron loading anemias (thalassemia major | sideroblastic anemia | aplastic anemia),Hemolysis, Excess supplements
</t>
  </si>
  <si>
    <t>Nutrient Deficiencies,Low (Iron | Copper | Selenium | Vitamin E | Zinc | Magnesium | Vitamin B12 | Folate (Vitamin B9) | Vitamin B6 | Vitamin A),Low Alkaline Phosphatase,Infections,Poor Absorption
Liver Dysfunction,Blood loss,Anemia of chronic disease,Hypothyroidism</t>
  </si>
  <si>
    <t xml:space="preserve">Allergies caused by dust mites, pollen, and animal allergens 
Food allergies, such as peanut, wheat, or red meat allergies Asthma 
GLA deficiency 
Atopic dermatitis and other skin allergies 
Smoking 
Alcohol intake and alcohol abuse 
Inflammatory bowel disease (IBD) 
Parasitic infections 
Viral infections 
Lymphomas 
Nephrotic syndrome (a type of kidney disorder) 
Hyper IgE syndrome 
</t>
  </si>
  <si>
    <t>Diets high in fructose and added sugars
Diets high in saturated fats and cholesterol
Being overweight/obese
Insulin resistance and diabetes
Hypothyroidism
Smoking
Drinking coffee (including decaf)
Lack of sleep
Sleep apnea
Pregnancy
Menopause
Medications such as androgens/anabolic steroids, drugs that suppress the immune system, and chemotherapeutics
Non-alcoholic fatty liver disease (NAFLD)
Kidney disease
Growth hormone deficiency
Genetic disorders, such as familial hypercholesterolemia and hyperlipidemia</t>
  </si>
  <si>
    <t>Liver disease
Malnutrition
Hyperthyroidism
Medications (statins, fibrates, bile acid sequestrants, ezetemibe, pcsk9 monoclonal antibodies, mipomersan)
Genetic disorders</t>
  </si>
  <si>
    <t>Diets rich in healthy fats (e.g., omega-3s)
Regular physical activity
Regular physical activity
Estrogen (e.g., premenopausal women or hormone therapy)
Genetic predisposition to high HDL/APO-A1 levels
Healthy liver function
Low systemic inflammation
Hyperthyroidism
Moderate alcohol consumption (increases HDL)
Statins or fibrates (may increase APO-A1)
Weight loss (in overweight individuals)</t>
  </si>
  <si>
    <t>Diets high in trans fats and refined sugars
Sedentary lifestyle
Androgen therapy or anabolic steroid use
Familial hypoalphalipoproteinemia or other genetic HDL disorders
Liver disease or impaired liver protein synthesis
Chronic inflammation or autoimmune diseases
Hypothyroidism
Chronic alcohol abuse
Beta-blockers or certain antipsychotic medications
Obesity, malnutrition, or extreme weight loss</t>
  </si>
  <si>
    <t xml:space="preserve">Lipoprotein (a) </t>
  </si>
  <si>
    <t>Genetics
Underactive thyroid (hypothyroidism)
Low testosterone in men and low estrogen in women
Polycystic ovary syndrome (PCOS)
Menopause
Serious inflammation and tissue damage
Autoimmune disease
Kidney disease
Medications such as insulin, metformin, and other drugs used to treat diabetes, anti-seizure drugs, and growth hormone</t>
  </si>
  <si>
    <t xml:space="preserve">Anti CCP </t>
  </si>
  <si>
    <t>Rheumatoid Arthritis</t>
  </si>
  <si>
    <t>Autoimmune disease</t>
  </si>
  <si>
    <t>Exercise: Intense workouts or physical activities.
Muscle Injuries: Strains, sprains, or trauma.
Medical Conditions: Muscle disorders (e.g., muscular dystrophy), infections, or hormonal imbalances.
Heart Issues: Such as a heart attack.
Metabolic Problems: Like low sodium, potassium, or phosphate.
Certain Medications: Statins (for cholesterol), some blood pressure drugs, and chemotherapy.
Infections: Viruses, bacteria, or other infections causing muscle stress.
Extreme Temperatures: Exposure to heat or cold.
Toxins: Such as snake venom or carbon monoxide.
Substance Use: Including cocaine.</t>
  </si>
  <si>
    <t>Low muscle mass
Inflammation in autoimmune disease
Pregnancy (second trimester)</t>
  </si>
  <si>
    <t>High Primary Reason</t>
  </si>
  <si>
    <t>High Secondary Reasons</t>
  </si>
  <si>
    <t>Primary Reason for Low Values</t>
  </si>
  <si>
    <t>Secondary Reasons for Low Values</t>
  </si>
  <si>
    <t>High Testosterone, Poor Oxygenation</t>
  </si>
  <si>
    <t>Nutrient deficiencies (Iron, Vitamin B12, Folate)</t>
  </si>
  <si>
    <t>Thiamine deficiency, Insulin resistance, Liver dysfunction, Hypothyroidism, Protein deficiency, Inflammation/Infection</t>
  </si>
  <si>
    <t>Folate (Vitamin B9) deficiency, Vitamin C deficiency, Liver dysfunction, Megaloblastic Anemia</t>
  </si>
  <si>
    <t>Iron deficiency</t>
  </si>
  <si>
    <t>Deficiency of Copper, Zinc, Vitamin B6, Vitamin C, Vitamin A, Lead poisoning</t>
  </si>
  <si>
    <t>Likely anemia of nutrient deficiency</t>
  </si>
  <si>
    <t>Iron, Folate, Vitamin B12</t>
  </si>
  <si>
    <t>Iron deficiency anemia</t>
  </si>
  <si>
    <t>Liver dysfunction, Inflammation, Blood transfusion, GI bleeding, Sleep disturbances</t>
  </si>
  <si>
    <t>Iron-deficient anemia</t>
  </si>
  <si>
    <t>Stress, Infection, Inflammation, Collagen disease, Cancer prognosis</t>
  </si>
  <si>
    <t>Viral infection</t>
  </si>
  <si>
    <t>Alcoholism, Liver dysfunction, Pernicious anemia, Bleeding, Hemosiderosis, Hemochromatosis, Hemolytic anemia, Vitamin B6 deficiency</t>
  </si>
  <si>
    <t>Chronic disease</t>
  </si>
  <si>
    <t>Poor iron intake/absorption, Blood loss, Anemia</t>
  </si>
  <si>
    <t>Chronic infection, Chronic disease, Elevated estrogen administration</t>
  </si>
  <si>
    <t>Infection (acute/recent)</t>
  </si>
  <si>
    <t>Possible endothelial dysfunction, Peripheral artery disease, Excess weight, Insulin resistance, Zinc deficiency</t>
  </si>
  <si>
    <t>Chronic infection</t>
  </si>
  <si>
    <t>Pernicious anemia, Chronic inflammation</t>
  </si>
  <si>
    <t>Bacterial infection and/or inflammation</t>
  </si>
  <si>
    <t>Fungal infection, Parasitic infection, Stress, Smoking</t>
  </si>
  <si>
    <t>Copper deficiency</t>
  </si>
  <si>
    <t>Vitamin B12/Folate deficiency</t>
  </si>
  <si>
    <t>Viral infections</t>
  </si>
  <si>
    <t>Autoimmune condition (Crohn's disease, other), Hypoadrenalism</t>
  </si>
  <si>
    <t>Zinc deficiency</t>
  </si>
  <si>
    <t>Elevation of other WBCs, Steroid use</t>
  </si>
  <si>
    <t>Generalized systemic inflammation</t>
  </si>
  <si>
    <t>Collagen disease (RA), Ulcerative colitis, Recovery after infection/trauma</t>
  </si>
  <si>
    <t>Parasitic infection (tapeworm)</t>
  </si>
  <si>
    <t>Biliary cirrhosis, Allergies, Asthma, Hypoadrenalism, Chronic skin disease, Ulcerative colitis, Aspirin sensitivity</t>
  </si>
  <si>
    <t>Chronic infections</t>
  </si>
  <si>
    <t>Vitamin D deficiency, Sepsis</t>
  </si>
  <si>
    <t>Inflammation</t>
  </si>
  <si>
    <t>Allergy, Chronic hemolytic anemia, Hypothyroidism, Infection (bacterial, viral, parasitic)</t>
  </si>
  <si>
    <t>Increased risk of acute myocardial infarction</t>
  </si>
  <si>
    <t>Severity of coronary heart disease, Insulin resistance, Hypertension, Obesity, Endothelial dysfunction</t>
  </si>
  <si>
    <t>Bacterial vs. viral infection differentiation</t>
  </si>
  <si>
    <t>Infections, Lifestyle habits (smoking, poor sleep), Stress, Trans fat consumption, Vitamin D deficiency, High leptin</t>
  </si>
  <si>
    <t>Inflammation/Infections</t>
  </si>
  <si>
    <t>Anemia, Insulin resistance, Excess weight, Hyperlipidemia, Thyroid dysfunction, Liver dysfunction</t>
  </si>
  <si>
    <t>Hemochromatosis</t>
  </si>
  <si>
    <t>Inflammation, Liver disease/dysfunction, Hemolytic anemia, Sideroblastic anemia</t>
  </si>
  <si>
    <t>Chronic blood loss</t>
  </si>
  <si>
    <t>Poor absorption, Chronic infection</t>
  </si>
  <si>
    <t>Over-supplementation</t>
  </si>
  <si>
    <t>Excess sunlight</t>
  </si>
  <si>
    <t>Inadequate sun exposure</t>
  </si>
  <si>
    <t>Infections/inflammation, Malabsorption, Liver dysfunction, Kidney disease, Strict vegan diets, Obesity/excess weight</t>
  </si>
  <si>
    <t>Blood disorders</t>
  </si>
  <si>
    <t>Alcohol intake, Kidney disease, Supplementation, Hepatitis C, Liver cirrhosis, Autoimmune condition, Diabetes</t>
  </si>
  <si>
    <t>Poor absorption</t>
  </si>
  <si>
    <t>Digestive inflammation, IBD, Autoimmune thyroid disease, NSAIDs use, Infection</t>
  </si>
  <si>
    <t>Attempt to attenuate oxidative stress</t>
  </si>
  <si>
    <t>Gout, Kidney dysfunction, Starvation/extreme calorie restriction, Alcohol intake, Hypothyroidism, Hyperlipidemia</t>
  </si>
  <si>
    <t>Low purine intake</t>
  </si>
  <si>
    <t>Unchecked oxidative stress</t>
  </si>
  <si>
    <t>Oxidative stress</t>
  </si>
  <si>
    <t>Methylation dysfunction, Vitamin B12, B6, Folate deficiency, Renal dysfunction, Stress, Autoimmune condition</t>
  </si>
  <si>
    <t>Vitamin C intake/supplementation, Vitamin D supplementation</t>
  </si>
  <si>
    <t>Poor dietary selenium intake</t>
  </si>
  <si>
    <t>Vitamin E deficiency, High PUFA intake, Zinc and Copper deficiency</t>
  </si>
  <si>
    <t>Insulin resistance</t>
  </si>
  <si>
    <t>Pancreatic dysfunction, Hyperthyroidism, Hyperadrenal dysfunction, Excess weight, Liver dysfunction, Illness/injury</t>
  </si>
  <si>
    <t>Pancreatic dysfunction, Hyperthyroidism, Hyperadrenal dysfunction, Excess weight, Liver dysfunction</t>
  </si>
  <si>
    <t>Excess weight, Pancreatic dysfunction, Beta-cell destruction</t>
  </si>
  <si>
    <t>Low levels suggest islet cell and insulin antibody issues</t>
  </si>
  <si>
    <t>Potassium deficiency, Excess weight</t>
  </si>
  <si>
    <t>Hyperinsulinemia</t>
  </si>
  <si>
    <t>Blood sugar dysregulation</t>
  </si>
  <si>
    <t>Sympathetic/adrenalinergic symptoms</t>
  </si>
  <si>
    <t>Neuroglycopenic symptoms, (anxiety, palpitations, irritability, hunger, dizziness, blurred vision, etc.)</t>
  </si>
  <si>
    <t>Craves sweets corrected after consumption</t>
  </si>
  <si>
    <t>May crave salt</t>
  </si>
  <si>
    <t>Liver dysfunction</t>
  </si>
  <si>
    <t>Hyperthyroidism, Malnutrition/malabsorption, Infection, Manganese deficiency, Medications (statins)</t>
  </si>
  <si>
    <t>High-intensity exercise</t>
  </si>
  <si>
    <t>Alcohol, Inflammation, Leaky gut, Insulin resistance, Infection, Liver dysfunction, Low dietary fat intake, Smoking, Lack of activity</t>
  </si>
  <si>
    <t>High-intensity exercise, Alcohol, Inflammation, Intestinal permeability (leaky gut)</t>
  </si>
  <si>
    <t>Low dietary fat intake</t>
  </si>
  <si>
    <t>Smoking, Lack of physical activity, Excess weight, Insulin resistance, Infection, Liver dysfunction, Cholestasis</t>
  </si>
  <si>
    <t>Diet high in calories</t>
  </si>
  <si>
    <t>Excess weight, Inactivity, Smoking, Insulin resistance, Liver dysfunction, Inflammation, Infection, Vitamin D deficiency</t>
  </si>
  <si>
    <t>Medication effects (e.g., statins)</t>
  </si>
  <si>
    <t>Excess hemolysis</t>
  </si>
  <si>
    <t>Hemolytic anemia, Liver dysfunction, Bile duct obstruction, Gilbert's Syndrome</t>
  </si>
  <si>
    <t>Oxidative stress, Kidney dysfunction, Uremia, Hypertension</t>
  </si>
  <si>
    <t>Methionine/choline deficient diet</t>
  </si>
  <si>
    <t>Insulin resistance, Oxidative stress, Iron overload, Inflamed fat, Gut dysbiosis, Low thyroid, Toxin exposure</t>
  </si>
  <si>
    <t>Hepatocellular dysfunction</t>
  </si>
  <si>
    <t>Biliary issues, Alcohol intake, Excessive weight, Muscle breakdown, Thyroid dysfunction, Infections</t>
  </si>
  <si>
    <t>Vitamin B6 deficiency</t>
  </si>
  <si>
    <t>Azotemia (Uremia), Magnesium deficiency</t>
  </si>
  <si>
    <t>Liver obstruction</t>
  </si>
  <si>
    <t>Liver or biliary cirrhosis, GI issues (IBD), Hyperphosphatemia, Bone disease, Hyperthyroidism, Hyperparathyroidism</t>
  </si>
  <si>
    <t>Zinc or Magnesium deficiency</t>
  </si>
  <si>
    <t>Malnutrition, Hypothyroidism, Pernicious anemia</t>
  </si>
  <si>
    <t>Immune system issues (increased globulins)</t>
  </si>
  <si>
    <t>Poor protein digestion/absorption</t>
  </si>
  <si>
    <t>Celiac, UC, Crohn's disease, Liver dysfunction (cirrhosis), Chronic inflammation, Infection (viral)</t>
  </si>
  <si>
    <t>Infection (viral), Inflammation, Kidney dysfunction, Malnutrition</t>
  </si>
  <si>
    <t>Infection (viral/bacterial)</t>
  </si>
  <si>
    <t>Autoimmunity, Increased estrogen, Iron deficiency anemia, Hyperlipidemia, Inflammation, Dehydration</t>
  </si>
  <si>
    <t>Cholestasis, Pancreatitis, Oxidative stress</t>
  </si>
  <si>
    <t>Low sodium, Magnesium deficiency</t>
  </si>
  <si>
    <t>Kidney dysfunction</t>
  </si>
  <si>
    <t>Dehydration, Increased muscle mass, Hyperthyroidism, High meat intake</t>
  </si>
  <si>
    <t>Decreased muscle mass</t>
  </si>
  <si>
    <t>Poor dietary protein intake, Muscle dystrophy, Malnutrition, Liver dysfunction</t>
  </si>
  <si>
    <t>High protein diet, Dehydration, Fatty liver (NAFLD), Catabolic states (cancer)</t>
  </si>
  <si>
    <t>Poor protein intake</t>
  </si>
  <si>
    <t>Poor digestion/absorption, Liver dysfunction, Excess hydration, Vitamin B6 deficiency, Malnutrition</t>
  </si>
  <si>
    <t>Hyperparathyroidism, Metastasis (cancers), Increased Vitamin D intake, Adrenal insufficiency</t>
  </si>
  <si>
    <t>Vitamin D deficiency</t>
  </si>
  <si>
    <t>Poor absorption, Hypoparathyroidism, Magnesium deficiency, Gut disorders, High phosphorus levels, Menopause</t>
  </si>
  <si>
    <t>Diarrhea, Kidney dysfunction, Diuretics, Hyperaldosteronism</t>
  </si>
  <si>
    <t>High sodium loss</t>
  </si>
  <si>
    <t>Renal failure</t>
  </si>
  <si>
    <t>Hypoaldosteronism, Hemolysis, Hyperglycemia, Low insulin, Exercise, Supplementation</t>
  </si>
  <si>
    <t>Poor potassium intake</t>
  </si>
  <si>
    <t>Hyperaldosteronism, Low magnesium, Elevated insulin, Excess fluid loss</t>
  </si>
  <si>
    <t>Diarrhea, Dehydration</t>
  </si>
  <si>
    <t>Excessive chloride loss</t>
  </si>
  <si>
    <t>Severe vomiting, Diuretics, Laxatives, Diarrhea, Adrenal insufficiency</t>
  </si>
  <si>
    <t>Excessive phosphate load</t>
  </si>
  <si>
    <t>Vitamin D toxicity, Hypoparathyroidism, Genetics, Kidney dysfunction, Dehydration, Smoking</t>
  </si>
  <si>
    <t>Poor absorption, Poor protein digestion, Diarrhea, Elevated insulin</t>
  </si>
  <si>
    <t>Hypermagnesemia</t>
  </si>
  <si>
    <t>Kidney dysfunction, Hemolysis, Hyperparathyroidism, Dehydration, Hypothyroidism, Hyperadrenalism</t>
  </si>
  <si>
    <t>Diarrhea, Hypercalcemia, Insulin resistance, Low protein diet, Vitamin D deficiency, B6 deficiency</t>
  </si>
  <si>
    <t>Overhydration</t>
  </si>
  <si>
    <t>Excess ADH production, Hypothyroidism, Adrenal insufficiency</t>
  </si>
  <si>
    <t>Silent heart attacks (high inflammation, hypercoagulation), Insulin resistance, Endothelial dysfunction</t>
  </si>
  <si>
    <t>Statins, Blood thinners</t>
  </si>
  <si>
    <t>Thyroid insufficiency</t>
  </si>
  <si>
    <t>Selenium, Protein, B vitamin deficiencies, Iron deficiency, Hypoadrenalism, Liver dysfunction, Infections, Inflammation</t>
  </si>
  <si>
    <t>Iodine, L-tyrosine, Protein, B vitamin deficiencies, Hypoadrenalism, Infections, Inflammation</t>
  </si>
  <si>
    <t>Grave's disease, Chronic stress, Pituitary dysfunction</t>
  </si>
  <si>
    <t>Hashimoto's disease</t>
  </si>
  <si>
    <t>Iron poisoning</t>
  </si>
  <si>
    <t>B6 deficiency, Repeated blood transfusions, Liver Dysfunction, Iron loading anemias, Hemolysis, Excess supplements</t>
  </si>
  <si>
    <t>Nutrient deficiencies, Chronic blood loss, Anemia of chronic disease, Hypothyroidism</t>
  </si>
  <si>
    <t>Adrenal Insufficiency</t>
  </si>
  <si>
    <t>Free T3,Free T4,Ultrasensitive TSH,Cortisol,Sodium,Potassium,Magnesium</t>
  </si>
  <si>
    <t>Air Pollution</t>
  </si>
  <si>
    <t>Alcohol Consumption</t>
  </si>
  <si>
    <t>Alcohol Intake</t>
  </si>
  <si>
    <t>Alcoholism</t>
  </si>
  <si>
    <t>Allergies</t>
  </si>
  <si>
    <t>Eosinophils - Relative,Basophils</t>
  </si>
  <si>
    <t>Allergy</t>
  </si>
  <si>
    <t>Anemia</t>
  </si>
  <si>
    <t>Haemoglobin,RBC,Hematocrit,MCV,MCH,MCHC,RDW,Iron,Vitamin B12,Folate,Vitamin B6,ESR</t>
  </si>
  <si>
    <t>Anemia of Nutrient Deficiency</t>
  </si>
  <si>
    <t>Haemoglobin,RBC,Hematocrit,MCV,MCH,MCHC,RDW,Iron,Copper,Selenium,Vitamin E,Magnesium,Vitamin B12,Folate,Vitamin B6,Vitamin A</t>
  </si>
  <si>
    <t>Arthritis</t>
  </si>
  <si>
    <t>ESR,HS-CRP,Monocytes - Relative,Globulin,Calcium</t>
  </si>
  <si>
    <t>Aspirin Sensitivity</t>
  </si>
  <si>
    <t>Asthma</t>
  </si>
  <si>
    <t>Attempt to Attenuate Oxidative Stress</t>
  </si>
  <si>
    <t>GGT,Bilirubin - Direct,Selenium,Vitamin E,Zinc,Copper</t>
  </si>
  <si>
    <t>Autoimmune Condition</t>
  </si>
  <si>
    <t>Lymphocytes - Relative,Monocytes - Relative,Eosinophils - Relative,Globulin,HS-CRP,ESR,Free T3,Free T4,Ultrasensitive TSH</t>
  </si>
  <si>
    <t>Autoimmune Thyroid Disease</t>
  </si>
  <si>
    <t>Ultrasensitive TSH,Anti TPO,Anti TgAb,Free T3,Free T4</t>
  </si>
  <si>
    <t>Autoimmunity</t>
  </si>
  <si>
    <t>Bacterial Infection and/or Inflammation</t>
  </si>
  <si>
    <t>Neutrophils - Relative,HS-CRP,ESR,Globulin,GGT</t>
  </si>
  <si>
    <t>Beta-cell Destruction</t>
  </si>
  <si>
    <t>C-Peptide,Fasting Fasting Insulin,Post Prandial Insulin</t>
  </si>
  <si>
    <t>Bile Duct Obstruction</t>
  </si>
  <si>
    <t>Bilirubin - Direct,Alkaline Phosphatase</t>
  </si>
  <si>
    <t>Biliary Cirrhosis</t>
  </si>
  <si>
    <t>Eosinophils - Relative,Alkaline Phosphatase,ALT (SGPT),AST (SGOT),Total Protein</t>
  </si>
  <si>
    <t>Biliary Issues</t>
  </si>
  <si>
    <t>Alkaline Phosphatase,ALT (SGPT),AST (SGOT),Total Protein</t>
  </si>
  <si>
    <t>Birth Control Pills (OCP)</t>
  </si>
  <si>
    <t>Iron,Ferritin,Globulin,Free T3,Free T4,HbA1c,Post Prandial Blood Glucose</t>
  </si>
  <si>
    <t>Bleeding</t>
  </si>
  <si>
    <t>Haemoglobin,RBC,Hematocrit,Platelets,Iron,Ferritin,RDW</t>
  </si>
  <si>
    <t>Bleeding (GI)</t>
  </si>
  <si>
    <t>BUN,Urea,Platelets</t>
  </si>
  <si>
    <t>Blood Disorders</t>
  </si>
  <si>
    <t>Vitamin B12,Platelets,Uric Acid,Ferritin</t>
  </si>
  <si>
    <t>Blood Loss</t>
  </si>
  <si>
    <t>Haemoglobin,RBC,Hematocrit,Platelets,Iron,Ferritin</t>
  </si>
  <si>
    <t>Blood Sugar Dysregulation</t>
  </si>
  <si>
    <t>HbA1c,Fasting Blood Glucose,Post Prandial Blood Glucose,Fasting Insulin,C-Peptide,HOMA-IR,Reactive Hypoglycemia,Sodium,Potassium</t>
  </si>
  <si>
    <t>Blood Thinners</t>
  </si>
  <si>
    <t>Blood Transfusion</t>
  </si>
  <si>
    <t>RDW,Platelets</t>
  </si>
  <si>
    <t>Bone Disease</t>
  </si>
  <si>
    <t>Alkaline Phosphatase,Calcium,Phosphorous,Parathyroid Hormone (PTH)</t>
  </si>
  <si>
    <t>Bone Growth (Puberty)</t>
  </si>
  <si>
    <t>Alkaline Phosphatase,Calcium</t>
  </si>
  <si>
    <t>Cancer Prognosis</t>
  </si>
  <si>
    <t>Platelets,LDH</t>
  </si>
  <si>
    <t>Carnitine Deficiency (Vegan/Vegetarian)</t>
  </si>
  <si>
    <t>HbA1c,Fasting Blood Glucose,Post Prandial Blood Glucose</t>
  </si>
  <si>
    <t>Cholestasis</t>
  </si>
  <si>
    <t>Bilirubin - Direct,Alkaline Phosphatase,Total Total Cholesterol,Total Protein,GGT</t>
  </si>
  <si>
    <t>Chronic Disease</t>
  </si>
  <si>
    <t>Haemoglobin,RBC,Hematocrit,MCV,MCH,MCHC,RDW,Ferritin,ESR,HS-CRP,Total Cholesterol,Triglycerides,BUN,Urea</t>
  </si>
  <si>
    <t>Chronic Hemolytic Anemia</t>
  </si>
  <si>
    <t>Bilirubin - Direct,LDH,Basophils</t>
  </si>
  <si>
    <t>Chronic Infection</t>
  </si>
  <si>
    <t>Neutrophils - Relative,Lymphocytes - Relative,HS-CRP,ESR,Ferritin,GGT</t>
  </si>
  <si>
    <t>Chronic Inflammation</t>
  </si>
  <si>
    <t>ESR,HS-CRP,Monocytes - Relative,Globulin,GGT,Albumin,Total Cholesterol,Triglycerides,HDL</t>
  </si>
  <si>
    <t>Chronic Periodontitis</t>
  </si>
  <si>
    <t>Chronic Skin Disease</t>
  </si>
  <si>
    <t>Chronic Stress</t>
  </si>
  <si>
    <t>Ultrasensitive TSH,Free T3,Free T4,Cortisol,Sodium,Potassium,HbA1c,Fasting Blood Glucose,Post Prandial Blood Glucose</t>
  </si>
  <si>
    <t>Chronic Toxic Exposure</t>
  </si>
  <si>
    <t>Chronically Elevated Serum Glucose</t>
  </si>
  <si>
    <t>HbA1c,Fasting Blood Glucose,Post Prandial Blood Glucose,Fasting Insulin,C-Peptide,HOMA-IR,Potassium,Sodium</t>
  </si>
  <si>
    <t>Cirrhosis</t>
  </si>
  <si>
    <t>Haemoglobin,RBC,Hematocrit,MCV,MCH,MCHC,RDW,Alkaline Phosphatase,ALT (SGPT),AST (SGOT),Total Protein,Ferritin,Vitamin B12,Uric Acid,Total Cholesterol,Triglycerides,HDL</t>
  </si>
  <si>
    <t>Collagen Disease</t>
  </si>
  <si>
    <t>Monocytes - Relative,Platelets</t>
  </si>
  <si>
    <t>Copper Deficiency</t>
  </si>
  <si>
    <t>Haemoglobin,RBC,Hematocrit,MCV,MCH,MCHC,Neutrophils - Relative,Iron,Selenium</t>
  </si>
  <si>
    <t>Craves Sweets (Corrected After Sweets Consumption)</t>
  </si>
  <si>
    <t>Sodium,Potassium</t>
  </si>
  <si>
    <t>Crohn's Disease</t>
  </si>
  <si>
    <t>Lymphocytes - Relative,Globulin,Alkaline Phosphatase</t>
  </si>
  <si>
    <t>Decreased Muscle Mass</t>
  </si>
  <si>
    <t>Deficiency of Nutrients (Iodine,L-Tyrosine,Protein,B Vitamins)</t>
  </si>
  <si>
    <t>Free T3,Free T4,Ultrasensitive TSH</t>
  </si>
  <si>
    <t>Deficiency of Nutrients (Selenium,Protein,B Vitamins)</t>
  </si>
  <si>
    <t>Hematocrit,Haemoglobin,RBC,MCV,MCH,MCHC,RDW,Total Creatinine,Urea,BUN,Sodium,Potassium,Calcium,Osmolarity,Viscosity,Albumin,Total Protein</t>
  </si>
  <si>
    <t>Depletion Marker Indicating Low Antioxidant Defenses</t>
  </si>
  <si>
    <t>Diabetes</t>
  </si>
  <si>
    <t>HbA1c,Fasting Blood Glucose,Post Prandial Blood Glucose,Fasting Insulin,C-Peptide,HOMA-IR</t>
  </si>
  <si>
    <t>Diarrhea</t>
  </si>
  <si>
    <t>Potassium,Chloride,Magnesium</t>
  </si>
  <si>
    <t>Diet High in Calories (Carbs,Fats)</t>
  </si>
  <si>
    <t>Total Cholesterol,Triglycerides,LDL,HDL,FLI,ALT (SGPT),AST (SGOT),Calcium,Phosphorous</t>
  </si>
  <si>
    <t>Differentiator for Bacterial vs. Viral Infection</t>
  </si>
  <si>
    <t>Digestive Inflammation</t>
  </si>
  <si>
    <t>Diuretics</t>
  </si>
  <si>
    <t>Potassium,Chloride,Sodium,Osmolarity,Phosphorous</t>
  </si>
  <si>
    <t>Elevated Estrogen</t>
  </si>
  <si>
    <t>Iron,TIBC,Globulin,Triglycerides,HDL,Total Cholesterol</t>
  </si>
  <si>
    <t>Elevated Insulin</t>
  </si>
  <si>
    <t>Elevation of Other WBCs</t>
  </si>
  <si>
    <t>Endothelial Dysfunction</t>
  </si>
  <si>
    <t>Neutrophils - Relative,Total Cholesterol,HDL,Triglycerides,Viscosity</t>
  </si>
  <si>
    <t>Environmental Toxins</t>
  </si>
  <si>
    <t>Free T3,Free T4,Selenium</t>
  </si>
  <si>
    <t>Excess ADH Production</t>
  </si>
  <si>
    <t>Excess Fructose</t>
  </si>
  <si>
    <t>Excess Hemolysis</t>
  </si>
  <si>
    <t>Bilirubin - Direct,LDH,Potassium</t>
  </si>
  <si>
    <t>Excess Hydration</t>
  </si>
  <si>
    <t>Urea,BUN,Sodium,Potassium,Magnesium,Osmolarity,Viscosity</t>
  </si>
  <si>
    <t>Excess Sunlight</t>
  </si>
  <si>
    <t>Excess Weight</t>
  </si>
  <si>
    <t>HbA1c,Fasting Blood Glucose,Post Prandial Blood Glucose,Fasting Insulin,C-Peptide,HOMA-IR,Total Cholesterol,Triglycerides,LDL,HDL,FLI,ALT (SGPT),AST (SGOT),GGT,Viscosity,Leptin,Ultrasensitive TSH</t>
  </si>
  <si>
    <t>Excessive Chloride Loss (Severe Vomiting,Diuretics,Laxatives,Diarrhea)</t>
  </si>
  <si>
    <t>Potassium,Chloride</t>
  </si>
  <si>
    <t>Excessive Phosphate Load</t>
  </si>
  <si>
    <t>Phosphorous</t>
  </si>
  <si>
    <t>Exercise</t>
  </si>
  <si>
    <t>Potassium,LDH,Viscosity</t>
  </si>
  <si>
    <t>Externally Elevated Estrogen Administration</t>
  </si>
  <si>
    <t>Triglycerides,HDL,Total Cholesterol,Globulin</t>
  </si>
  <si>
    <t>Fluoride</t>
  </si>
  <si>
    <t>Free T3,Free T4</t>
  </si>
  <si>
    <t>Folate (Vitamin B9) Deficiency</t>
  </si>
  <si>
    <t>Haemoglobin,RBC,Hematocrit,MCV,MCH,MCHC,RDW,Homocysteine</t>
  </si>
  <si>
    <t>Fracture (Temporary Elevation)</t>
  </si>
  <si>
    <t>Fungal Infection</t>
  </si>
  <si>
    <t>Uric Acid,WBC</t>
  </si>
  <si>
    <t>Gaucher's Disease</t>
  </si>
  <si>
    <t>Generalized Systemic Inflammation</t>
  </si>
  <si>
    <t>Genetics</t>
  </si>
  <si>
    <t>Phosphorous,Homocysteine</t>
  </si>
  <si>
    <t>GI Issues (IBD)</t>
  </si>
  <si>
    <t>Alkaline Phosphatase,Total Protein,Globulin,BUN,Urea,Homocysteine,Phosphorous,Vitamin B12</t>
  </si>
  <si>
    <t>Gilbert's Syndrome</t>
  </si>
  <si>
    <t>Bilirubin - Direct</t>
  </si>
  <si>
    <t>Gout</t>
  </si>
  <si>
    <t>Grave's Disease</t>
  </si>
  <si>
    <t>Ultrasensitive TSH,TSI</t>
  </si>
  <si>
    <t>Gut Disorders (Malabsorption)</t>
  </si>
  <si>
    <t>Vitamin D,Vitamin B12,Homocysteine,Phosphorous,Calcium,Magnesium,Albumin,Total Protein,Total Cholesterol</t>
  </si>
  <si>
    <t>Gut Dysbiosis</t>
  </si>
  <si>
    <t>H. pylori</t>
  </si>
  <si>
    <t>HbA1c,Fasting Blood Glucose,Post Prandial Blood Glucose,Selenium,GGT</t>
  </si>
  <si>
    <t>Hard Water (High TDS)</t>
  </si>
  <si>
    <t>Hashimoto's Disease</t>
  </si>
  <si>
    <t>Ultrasensitive TSH,Anti TPO,Anti TgAb</t>
  </si>
  <si>
    <t>Iron,Ferritin</t>
  </si>
  <si>
    <t>Hemolysis</t>
  </si>
  <si>
    <t>Hemolytic Anemia</t>
  </si>
  <si>
    <t>Haemoglobin,RBC,Hematocrit,Bilirubin - Direct,LDH,Ferritin,Uric Acid,Vitamin B12</t>
  </si>
  <si>
    <t>Hemosiderosis</t>
  </si>
  <si>
    <t>Hepatitis C</t>
  </si>
  <si>
    <t>Vitamin B12,GGT,ALT (SGPT),AST (SGOT),LDH</t>
  </si>
  <si>
    <t>Hepatocellular Dysfunction</t>
  </si>
  <si>
    <t>ALT (SGPT),AST (SGOT),Alkaline Phosphatase,Total Protein,Urea,BUN,FLI,Total Cholesterol,Triglycerides,HDL</t>
  </si>
  <si>
    <t>High Intensity Exercise</t>
  </si>
  <si>
    <t>LDH,HDL,Total Cholesterol</t>
  </si>
  <si>
    <t>High Leptin</t>
  </si>
  <si>
    <t>HS-HS-CRP</t>
  </si>
  <si>
    <t>High Meat Intake</t>
  </si>
  <si>
    <t>Total Creatinine,Urea,BUN,Phosphorous</t>
  </si>
  <si>
    <t>High Phosphorous Levels</t>
  </si>
  <si>
    <t>Alkaline Phosphatase,Calcium,Phosphorous</t>
  </si>
  <si>
    <t>High PUFA Intake</t>
  </si>
  <si>
    <t>High Purines/Fructose Diet</t>
  </si>
  <si>
    <t>High Sodium Intake</t>
  </si>
  <si>
    <t>High Testosterone</t>
  </si>
  <si>
    <t>Hematocrit,Haemoglobin,RBC</t>
  </si>
  <si>
    <t>Hyperadrenal Dysfunction</t>
  </si>
  <si>
    <t>HbA1c,Fasting Blood Glucose,Post Prandial Blood Glucose,Fasting Insulin,C-Peptide,Sodium,Potassium</t>
  </si>
  <si>
    <t>Hyperaldosteronism</t>
  </si>
  <si>
    <t>Hypercalcemia</t>
  </si>
  <si>
    <t>Calcium,Parathyroid Hormone (PTH),Vitamin D</t>
  </si>
  <si>
    <t>Hyperglycemia</t>
  </si>
  <si>
    <t>HbA1c,Fasting Blood Glucose,Post Prandial Blood Glucose,Fasting Insulin,C-Peptide,HOMA-IR,Total Cholesterol,Triglycerides</t>
  </si>
  <si>
    <t>Hyperlipidemia</t>
  </si>
  <si>
    <t>Total Cholesterol,Triglycerides,LDL,HDL,Globulin,Phosphorous</t>
  </si>
  <si>
    <t>Total Cholesterol,Triglycerides,LDL,HDL</t>
  </si>
  <si>
    <t>Hyperparathyroidism</t>
  </si>
  <si>
    <t>Calcium,Phosphorous,Parathyroid Hormone (PTH)</t>
  </si>
  <si>
    <t>Hyperphosphatemia</t>
  </si>
  <si>
    <t>Phosphorous,Alkaline Phosphatase</t>
  </si>
  <si>
    <t>Hypertension</t>
  </si>
  <si>
    <t>Neutrophil/Lymphocyte Ratio,Total Cholesterol,Triglycerides,HDL,Sodium,Potassium</t>
  </si>
  <si>
    <t>Hypoadrenalism</t>
  </si>
  <si>
    <t>Free T3,Free T4,Ultrasensitive TSH,Cortisol,Sodium,Potassium,HbA1c,Fasting Blood Glucose,Post Prandial Blood Glucose,Magnesium</t>
  </si>
  <si>
    <t>Hypoaldosteronism</t>
  </si>
  <si>
    <t>Hypopituitarism/Hypoadrenal Dysfunction</t>
  </si>
  <si>
    <t>HbA1c,Fasting Blood Glucose,Post Prandial Blood Glucose,Fasting Insulin,C-Peptide,Selenium</t>
  </si>
  <si>
    <t>Illness/Injury/Surgery</t>
  </si>
  <si>
    <t>Selenium,HbA1c,Fasting Blood Glucose,Post Prandial Blood Glucose,Fasting Insulin,C-Peptide,ALT (SGPT),AST (SGOT)</t>
  </si>
  <si>
    <t>Inactivity</t>
  </si>
  <si>
    <t>Inadequate Sun Exposure</t>
  </si>
  <si>
    <t>Increased Dietary Intake</t>
  </si>
  <si>
    <t>Increased Estrogen</t>
  </si>
  <si>
    <t>Globulin,Triglycerides,HDL,Total Cholesterol</t>
  </si>
  <si>
    <t>Increased Muscle Mass</t>
  </si>
  <si>
    <t>Increased Risk of Acute Myocardial Infarction</t>
  </si>
  <si>
    <t>Increased Vitamin D Intake</t>
  </si>
  <si>
    <t>Infection (Acute/Recent)</t>
  </si>
  <si>
    <t>Neutrophils - Relative,Lymphocytes - Relative,HS-CRP,ESR,Platelets,GGT,ALT (SGPT),AST (SGOT)</t>
  </si>
  <si>
    <t>Infection (Bacterial,Viral,Parasitic)</t>
  </si>
  <si>
    <t>Neutrophils - Relative,Lymphocytes - Relative,Monocytes - Relative,Eosinophils - Relative,Basophils,HS-CRP,ESR,Platelets,GGT,ALT (SGPT),AST (SGOT)</t>
  </si>
  <si>
    <t>Infection (Chronic)</t>
  </si>
  <si>
    <t>Neutrophils - Relative,Lymphocytes - Relative,HS-CRP,ESR,Ferritin,Total Cholesterol,Triglycerides,HDL,GGT,ALT (SGPT),AST (SGOT)</t>
  </si>
  <si>
    <t>Infection (Viral/Bacterial)</t>
  </si>
  <si>
    <t>Globulin,HS-CRP,ESR,GGT,ALT (SGPT),AST (SGOT)</t>
  </si>
  <si>
    <t>Infections (Chronic)</t>
  </si>
  <si>
    <t>Eosinophils - Relative,GGT,ALT (SGPT),AST (SGOT)</t>
  </si>
  <si>
    <t>Infections</t>
  </si>
  <si>
    <t>Inflamed Fat</t>
  </si>
  <si>
    <t>Inflammation/Infection</t>
  </si>
  <si>
    <t>Haemoglobin,RBC,Hematocrit,MCV,MCH,MCHC,RDW,ESR,HS-CRP,Neutrophils - Relative,Lymphocytes - Relative,Monocytes - Relative,Platelets,Ferritin,GGT,ALT (SGPT),AST (SGOT),Globulin,Total Protein,Total Cholesterol,Triglycerides,HDL</t>
  </si>
  <si>
    <t>ESR,HS-CRP</t>
  </si>
  <si>
    <t>Inflammatory Bowel Disease (IBD)</t>
  </si>
  <si>
    <t>Lymphocytes - Relative,Monocytes - Relative,Eosinophils - Relative,Globulin,Alkaline Phosphatase,Total Protein,Homocysteine,Ferritin</t>
  </si>
  <si>
    <t>Insulin Resistance</t>
  </si>
  <si>
    <t>HbA1c,Fasting Blood Glucose,Post Prandial Blood Glucose,Fasting Insulin,C-Peptide,HOMA-IR,Total Cholesterol,Triglycerides,LDL</t>
  </si>
  <si>
    <t>Intestinal Permeability (Leaky Gut)</t>
  </si>
  <si>
    <t>Triglycerides,HDL,Total Cholesterol</t>
  </si>
  <si>
    <t>Iron Deficiency</t>
  </si>
  <si>
    <t>Haemoglobin,RBC,Hematocrit,MCV,MCH,MCHC,RDW,Iron,Ferritin,TIBC,% Saturation,Globulin,Vitamin C,Vitamin A,Copper,Selenium,Zinc,Magnesium,Vitamin B12,Folate,Vitamin B6,Free T3,Free T4,Ultrasensitive TSH</t>
  </si>
  <si>
    <t>Iron Deficiency Anemia</t>
  </si>
  <si>
    <t>Iron Overload</t>
  </si>
  <si>
    <t>Iron,Ferritin,TIBC,% Saturation,FLI,ALT (SGPT),AST (SGOT)</t>
  </si>
  <si>
    <t>Iron-Deficient Anemia</t>
  </si>
  <si>
    <t>Ketogenic Diet</t>
  </si>
  <si>
    <t>Uric Acid,Total Cholesterol,Triglycerides,LDL</t>
  </si>
  <si>
    <t>Kidney Disease</t>
  </si>
  <si>
    <t>Total Creatinine,Urea,BUN,Calcium,Uric Acid</t>
  </si>
  <si>
    <t>Kidney Dysfunction</t>
  </si>
  <si>
    <t>Lack of Physical Activity</t>
  </si>
  <si>
    <t>Total Cholesterol,Triglycerides,LDL,HDL,Vitamin D</t>
  </si>
  <si>
    <t>Lack of Se in Diet</t>
  </si>
  <si>
    <t>Lead Poisoning</t>
  </si>
  <si>
    <t>MCV,MCH,MCHC,RDW,ALT (SGPT),AST (SGOT),Uric Acid</t>
  </si>
  <si>
    <t>Leptin Resistance</t>
  </si>
  <si>
    <t>Ultrasensitive TSH,Free T3,Free T4</t>
  </si>
  <si>
    <t>Lifestyle Habits (Smoking,Poor Sleep)</t>
  </si>
  <si>
    <t>HS-HS-CRP,ESR</t>
  </si>
  <si>
    <t>Liver Cirrhosis</t>
  </si>
  <si>
    <t>Alkaline Phosphatase,ALT (SGPT),AST (SGOT)</t>
  </si>
  <si>
    <t>Liver Damage (Toxins)</t>
  </si>
  <si>
    <t>ALT (SGPT),AST (SGOT)</t>
  </si>
  <si>
    <t>Liver Dysfunction</t>
  </si>
  <si>
    <t>Alkaline Phosphatase,ALT (SGPT),AST (SGOT),Uric Acid,Bilirubin - Direct</t>
  </si>
  <si>
    <t>Liver Dysfunction (Biliary Dysfunction)</t>
  </si>
  <si>
    <t>Alkaline Phosphatase,GGT,Total Protein</t>
  </si>
  <si>
    <t>Liver Dysfunction/Gallstones</t>
  </si>
  <si>
    <t>Uric Acid,ALT (SGPT),AST (SGOT),Alkaline Phosphatase,GGT</t>
  </si>
  <si>
    <t>Liver Obstruction</t>
  </si>
  <si>
    <t>Liver or Biliary Cirrhosis (Serum Bile Acid Elevated)</t>
  </si>
  <si>
    <t>Alkaline Phosphatase,Total Protein</t>
  </si>
  <si>
    <t>Low Dietary Fat Intake</t>
  </si>
  <si>
    <t>Total Cholesterol,Triglycerides,HDL</t>
  </si>
  <si>
    <t>Low Fat Diet (Dysfunctional Absorption)</t>
  </si>
  <si>
    <t>Triglycerides,HDL</t>
  </si>
  <si>
    <t>Low Insulin</t>
  </si>
  <si>
    <t>Low Magnesium</t>
  </si>
  <si>
    <t>Calcium,Potassium,Phosphorous,Alkaline Phosphatase,ALT (SGPT),AST (SGOT)</t>
  </si>
  <si>
    <t>Low Protein Levels</t>
  </si>
  <si>
    <t>Albumin,Total Protein,Urea,BUN,Homocysteine,Phosphorous,Magnesium</t>
  </si>
  <si>
    <t>Low Purine Intake</t>
  </si>
  <si>
    <t>Low Sodium</t>
  </si>
  <si>
    <t>Sodium,Potassium,GGT</t>
  </si>
  <si>
    <t>Low Thyroid</t>
  </si>
  <si>
    <t>Lupus</t>
  </si>
  <si>
    <t>Platelets,Lymphocytes - Relative,Monocytes - Relative,Globulin,Triglycerides,Total Cholesterol</t>
  </si>
  <si>
    <t>Magnesium Deficiency</t>
  </si>
  <si>
    <t>Haemoglobin,RBC,Hematocrit,MCV,MCH,MCHC,RDW,Alkaline Phosphatase,ALT (SGPT),AST (SGOT),Calcium,Phosphorous,Potassium</t>
  </si>
  <si>
    <t>Malnutrition/Malabsorption</t>
  </si>
  <si>
    <t>Haemoglobin,RBC,Hematocrit,MCV,MCH,MCHC,RDW,Protein Deficiency,Alkaline Phosphatase,Albumin,Total Protein,Total Cholesterol,Triglycerides,HDL,Bilirubin - Direct,Urea,BUN</t>
  </si>
  <si>
    <t>Manganese Deficiency</t>
  </si>
  <si>
    <t>Bilirubin - Direct,Total Total Cholesterol,Calcium</t>
  </si>
  <si>
    <t>May Crave SALT (SGPT)</t>
  </si>
  <si>
    <t>Medications (NSAIDs)</t>
  </si>
  <si>
    <t>Uric Acid,Potassium</t>
  </si>
  <si>
    <t>Medications (Statins)</t>
  </si>
  <si>
    <t>Total Cholesterol,Triglycerides,LDL,HDL,GGT,ALT (SGPT),AST (SGOT)</t>
  </si>
  <si>
    <t>Megaloblastic Anemia</t>
  </si>
  <si>
    <t>MCV,MCH,MCHC,Vitamin B12,Folate</t>
  </si>
  <si>
    <t>Menopause</t>
  </si>
  <si>
    <t>Calcium,Ferritin</t>
  </si>
  <si>
    <t>Metastasis (Cancers)</t>
  </si>
  <si>
    <t>Calcium,BUN</t>
  </si>
  <si>
    <t>Methionine/Choline Deficient Diet</t>
  </si>
  <si>
    <t>Methylation Dysfunction</t>
  </si>
  <si>
    <t>Homocysteine,Vitamin B12,Vitamin B6,Folate</t>
  </si>
  <si>
    <t>Muscle Breakdown</t>
  </si>
  <si>
    <t>ALT (SGPT),AST (SGOT),Total Creatinine</t>
  </si>
  <si>
    <t>Muscle Dystrophy</t>
  </si>
  <si>
    <t>Neuroglycopenic Symptoms</t>
  </si>
  <si>
    <t>Nutrient Deficiencies</t>
  </si>
  <si>
    <t>Haemoglobin,RBC,Hematocrit,MCV,MCH,MCHC,RDW,Iron,Copper,Selenium,Vitamin E,Magnesium,Vitamin B12,Folate,Vitamin B6,Vitamin A,Free T3,Free T4,Ultrasensitive TSH</t>
  </si>
  <si>
    <t>Obesity</t>
  </si>
  <si>
    <t>HbA1c,Fasting Blood Glucose,Post Prandial Blood Glucose,Fasting Insulin,C-Peptide,HOMA-IR,Total Cholesterol,Triglycerides,LDL,HDL,FLI,ALT (SGPT),AST (SGOT),GGT,Viscosity,Leptin,Ultrasensitive TSH,Vitamin D,Phosphorous</t>
  </si>
  <si>
    <t>Oral Contraceptive Pills (OCP)</t>
  </si>
  <si>
    <t>Iron,Ferritin,Globulin,Free T3,Free T4</t>
  </si>
  <si>
    <t>Selenium,Vitamin D</t>
  </si>
  <si>
    <t>Over-supplementation (Organ Meats,Seafood,Brazil Nuts)</t>
  </si>
  <si>
    <t>Overhydration (Cellular Level)</t>
  </si>
  <si>
    <t>Osmolarity,Potassium,Chloride,Magnesium</t>
  </si>
  <si>
    <t>Oxidative Stress</t>
  </si>
  <si>
    <t>Selenium,Vitamin E,Zinc,Copper,Homocysteine,Uric Acid,GGT,Bilirubin - Direct,FLI</t>
  </si>
  <si>
    <t>Pancreatic Dysfunction</t>
  </si>
  <si>
    <t>HbA1c,Fasting Blood Glucose,Post Prandial Blood Glucose,Fasting Insulin,C-Peptide,Selenium,GGT,ALT (SGPT),AST (SGOT)</t>
  </si>
  <si>
    <t>Pancreatitis</t>
  </si>
  <si>
    <t>Parasitic Infection</t>
  </si>
  <si>
    <t>Eosinophils - Relative,WBC</t>
  </si>
  <si>
    <t>Parasitic Infection (Tapeworm)</t>
  </si>
  <si>
    <t>Peripheral Artery Disease</t>
  </si>
  <si>
    <t>Haemoglobin,RBC,Hematocrit,MCV,MCH,MCHC,WBC,Platelets,Vitamin B12,Globulin</t>
  </si>
  <si>
    <t>Haemoglobin,RBC,Hematocrit,MCV,MCH,MCHC,RDW,Platelets,Vitamin B12,Globulin,LDH</t>
  </si>
  <si>
    <t>Pituitary Dysfunction</t>
  </si>
  <si>
    <t>Poor Absorption</t>
  </si>
  <si>
    <t>Vitamin B12,Homocysteine,Calcium,Magnesium,Phosphorous,Albumin,Total Protein,Iron</t>
  </si>
  <si>
    <t>Poor Intake and Absorption</t>
  </si>
  <si>
    <t>Vitamin B12,Ferritin,Vitamin D,Homocysteine,Magnesium,Phosphorous</t>
  </si>
  <si>
    <t>Poor Iron Intake and/or Absorption</t>
  </si>
  <si>
    <t>Iron,Ferritin,TIBC,% Saturation</t>
  </si>
  <si>
    <t>Poor Oxygenation</t>
  </si>
  <si>
    <t>Poor Potassium Intake</t>
  </si>
  <si>
    <t>Poor Protein Digestion</t>
  </si>
  <si>
    <t>Albumin,Total Protein,Urea,BUN,Homocysteine,Magnesium,Phosphorous</t>
  </si>
  <si>
    <t>Poor Protein Digestion/Absorption (Celiac,UC,Crohn's)</t>
  </si>
  <si>
    <t>Albumin,Total Protein</t>
  </si>
  <si>
    <t>Poor Sleep Quality</t>
  </si>
  <si>
    <t>Selenium,HbA1c,Fasting Blood Glucose,Post Prandial Blood Glucose,Fasting Insulin,C-Peptide,HS-HS-CRP</t>
  </si>
  <si>
    <t>Possible Endothelial Dysfunction</t>
  </si>
  <si>
    <t>Neutrophil/Lymphocyte Ratio,Total Cholesterol,HDL,Triglycerides,Viscosity,Bilirubin - Direct</t>
  </si>
  <si>
    <t>Potassium Deficiency</t>
  </si>
  <si>
    <t>Potassium,Sodium,Chloride,Magnesium</t>
  </si>
  <si>
    <t>Pregnancy</t>
  </si>
  <si>
    <t>Iron,TIBC,Alkaline Phosphatase</t>
  </si>
  <si>
    <t>Protein Deficiency</t>
  </si>
  <si>
    <t>Haemoglobin,RBC,Hematocrit,MCV,MCH,MCHC,RDW,Albumin,Total Protein,Urea,BUN,Homocysteine,Magnesium</t>
  </si>
  <si>
    <t>Recovery After Infection/Trauma</t>
  </si>
  <si>
    <t>Renal Dysfunction</t>
  </si>
  <si>
    <t>Total Creatinine,Urea,BUN,Calcium,Phosphorous,Sodium,Potassium,Osmolarity,Vitamin D,Homocysteine</t>
  </si>
  <si>
    <t>Renal Failure</t>
  </si>
  <si>
    <t>Total Creatinine,Urea,BUN,Potassium,Phosphorous,Sodium,Chloride</t>
  </si>
  <si>
    <t>Monocytes - Relative,Platelets,Globulin,HS-CRP,ESR,Total Cholesterol,Triglycerides,HDL</t>
  </si>
  <si>
    <t>Selenium Deficiency</t>
  </si>
  <si>
    <t>Selenium,Vitamin E,Zinc,Copper,Free T3,Free T4</t>
  </si>
  <si>
    <t>Sepsis</t>
  </si>
  <si>
    <t>Severity of Coronary Heart Disease</t>
  </si>
  <si>
    <t>Sideroblastic Anemia</t>
  </si>
  <si>
    <t>Ferritin,Iron</t>
  </si>
  <si>
    <t>Silent Heart Attacks (High Inflammation,Hypercoagulation)</t>
  </si>
  <si>
    <t>Sleep Disturbances</t>
  </si>
  <si>
    <t>RDW,Platelets,HS-HS-CRP,Selenium</t>
  </si>
  <si>
    <t>HS-HS-CRP,ESR,Total Cholesterol,Triglycerides,HDL,Viscosity,Osmolarity,Vitamin D,Selenium,Free T3,Free T4,Ultrasensitive TSH</t>
  </si>
  <si>
    <t>Starvation/Extreme Calorie Restriction</t>
  </si>
  <si>
    <t>Uric Acid,BUN,Urea</t>
  </si>
  <si>
    <t>Steroid Use</t>
  </si>
  <si>
    <t>Lymphocytes - Relative,Phosphorous</t>
  </si>
  <si>
    <t>Still's Disease</t>
  </si>
  <si>
    <t>Ferritin,Vitamin B12</t>
  </si>
  <si>
    <t>Stress</t>
  </si>
  <si>
    <t>Magnesium,Platelets,HS-HS-CRP,ESR,Ultrasensitive TSH,Free T3,Free T4,Cortisol,Sodium,Potassium,GGT,HbA1c,Fasting Blood Glucose,Post Prandial Blood Glucose</t>
  </si>
  <si>
    <t>Strict Vegan Diets</t>
  </si>
  <si>
    <t>Vitamin B12,Carnitine,Vitamin D</t>
  </si>
  <si>
    <t>Supplementation</t>
  </si>
  <si>
    <t>Selenium,Vitamin D,Vitamin B12,Homocysteine,Phosphorous,Potassium,Magnesium,Calcium</t>
  </si>
  <si>
    <t>Sympathetic/Adrenalinergic Symptoms</t>
  </si>
  <si>
    <t>Thiamine (Vitamin B1) Deficiency</t>
  </si>
  <si>
    <t>Thyroid Dysfunction</t>
  </si>
  <si>
    <t>Toxin Exposure (Heavy Metals,Environment)</t>
  </si>
  <si>
    <t>Selenium,ALT (SGPT),AST (SGOT),FLI</t>
  </si>
  <si>
    <t>Trans Fat Consumption</t>
  </si>
  <si>
    <t>Ulcerative Colitis</t>
  </si>
  <si>
    <t>Monocytes - Relative,Eosinophils - Relative,Globulin,Alkaline Phosphatase,Total Protein,Homocysteine</t>
  </si>
  <si>
    <t>Unchecked Oxidative Stress</t>
  </si>
  <si>
    <t>Uric Acid,GGT</t>
  </si>
  <si>
    <t>Vegan Diet</t>
  </si>
  <si>
    <t>Vitamin B12,Carnitine</t>
  </si>
  <si>
    <t>Viral Infection</t>
  </si>
  <si>
    <t>Lymphocytes - Relative,Monocytes - Relative,Eosinophils - Relative,Basophils,HS-CRP,ESR,Platelets,GGT,ALT (SGPT),AST (SGOT),Globulin</t>
  </si>
  <si>
    <t>Vitamin A Deficiency</t>
  </si>
  <si>
    <t>Haemoglobin,RBC,Hematocrit,MCV,MCH,MCHC,RDW,Iron</t>
  </si>
  <si>
    <t>Vitamin B12 Deficiency</t>
  </si>
  <si>
    <t>Haemoglobin,RBC,Hematocrit,MCV,MCH,MCHC,RDW,Platelets,Homocysteine,Uric Acid,Urea,BUN,Total Protein,Albumin</t>
  </si>
  <si>
    <t>Vitamin B6 Deficiency</t>
  </si>
  <si>
    <t>Haemoglobin,RBC,Hematocrit,MCV,MCH,MCHC,RDW,Homocysteine,Iron,ALT (SGPT),AST (SGOT),Urea,BUN,HbA1c,Fasting Blood Glucose,Post Prandial Blood Glucose,Selenium</t>
  </si>
  <si>
    <t>Vitamin C Deficiency</t>
  </si>
  <si>
    <t>Haemoglobin,RBC,Hematocrit,MCV,MCH,MCHC,RDW,Iron,Copper,Carnitine,Albumin,Total Protein,Selenium</t>
  </si>
  <si>
    <t>Vitamin C Intake/Supplementation</t>
  </si>
  <si>
    <t>Vitamin D Deficiency</t>
  </si>
  <si>
    <t>Calcium,Phosphorous,Magnesium,Eosinophils - Relative,Total Cholesterol,Triglycerides,HDL,GGT,ALT (SGPT),AST (SGOT),Urea,BUN,Ferritin</t>
  </si>
  <si>
    <t>Vitamin D Supplementation</t>
  </si>
  <si>
    <t>Vitamin D Toxicity</t>
  </si>
  <si>
    <t>Phosphorous,Calcium</t>
  </si>
  <si>
    <t>Vitamin E Deficiency</t>
  </si>
  <si>
    <t>Selenium,Haemoglobin,RBC,Hematocrit</t>
  </si>
  <si>
    <t>Zinc and Copper Deficiency</t>
  </si>
  <si>
    <t>Haemoglobin,RBC,Hematocrit,MCV,MCH,MCHC,RDW,Neutrophils - Relative,Iron,Selenium,Platelets,Lymphocytes - Relative,Monocytes - Relative,Total Protein,GGT,ALT (SGPT),AST (SGOT)</t>
  </si>
  <si>
    <t>Zinc Deficiency</t>
  </si>
  <si>
    <t>Haemoglobin,RBC,Hematocrit,MCV,MCH,MCHC,RDW,Neutrophils - Relative,Lymphocytes - Relative,Monocytes - Relative,Selenium,Alkaline Phosphatase,ALT (SGPT),AST (SGOT),Total Protein,GGT,Uric Acid</t>
  </si>
  <si>
    <t>Pernicious anemia</t>
  </si>
  <si>
    <t>WBC,Haemoglobin,RBC,Hematocrit,Platelets,Iron,Ferritin,RDW,Alkaline Phosphatase</t>
  </si>
  <si>
    <t xml:space="preserve">
 1. Dehydration
 2. Polycythemia vera
 3. High altitude living
 4. Chronic lung disease (hypoxia)
 5. Smoking
Micronutrients
1. Dehydration (increased hemoconcentration) 
 2. Excessive iron (iron overload, hemochromatosis) 
 3. Vitamin B12 supplementation 
 4. Folate supplementation 
 5. Chronic inflammation</t>
  </si>
  <si>
    <t xml:space="preserve">
 1. Anemia (iron, B12, folate deficiency)
 2. Blood loss (acute or chronic)
 3. Chronic kidney disease
 4. Hemodilution (overhydration)
 5. Pregnancy (hemodilution)
Micronutrients
1. Iron deficiency 
 2. Vitamin B12 deficiency 
 3. Folate deficiency 
 4. Vitamin C deficiency 
 5. Copper deficiency</t>
  </si>
  <si>
    <t xml:space="preserve">
 1. Dehydration
 2. Polycythemia vera
 3. High altitude living
 4. Chronic lung disease (hypoxia)
 5. Smoking
Micronutrients
1. Dehydration 
 2. Excessive iron 
 3. Vitamin B12 excess 
 4. Folate excess 
 5. Vitamin A excess</t>
  </si>
  <si>
    <t xml:space="preserve">
 1. Polycythemia vera
 2. Chronic hypoxia (e.g., COPD, emphysema)
 3. Dehydration
 4. Smoking
 5. High altitude
Micronutrients
1. Excessive iron 
 2. Vitamin B12 supplementation 
 3. Folate supplementation 
 4. Vitamin A excess 
 5. Vitamin C excess</t>
  </si>
  <si>
    <t xml:space="preserve">
 1.  Iron deficiency anemia
 2. Blood loss (acute or chronic)
 3. Vitamin B12 or folate deficiency
 4. Chronic kidney disease
 5. Hemolysis
Micronutrients
1. Iron deficiency 
 2. Vitamin B12 deficiency 
 3. Folate deficiency 
 4. Vitamin C deficiency 
 5. Copper deficiency</t>
  </si>
  <si>
    <t xml:space="preserve">
 1. Polycythemia vera
 2. Dehydration
 3. Chronic hypoxia (lung disease)
 4. Smoking
 5. High altitude living
Micronutrients
1. Vitamin B12 supplementation 
 2. Folate supplementation 
 3. Iron overload 
 4. Vitamin A excess 
 5. Chronic inflammation</t>
  </si>
  <si>
    <t xml:space="preserve">
 1. Anemia (iron, B12, folate deficiency)
 2. Blood loss (acute or chronic)
 3. Hemodilution (overhydration)
 4. Bone marrow suppression
 5. Chronic kidney disease
Micronutrients
1. Iron deficiency 
 2. Vitamin B12 deficiency 
 3. Folate deficiency 
 4. Vitamin C deficiency 
 5. Copper deficiency</t>
  </si>
  <si>
    <t xml:space="preserve">
 1. Macrocytic anemia (B12, folate deficiency)
 2. Liver disease
 3. Alcoholism
 4. Hypothyroidism
 5. Reticulocytosis
Micronutrients
1. Vitamin B12 excess 
 2. Folate excess 
 3. Chronic liver disease (e.g., cirrhosis) 
 4. Alcohol excess 
 5. Hypothyroidism</t>
  </si>
  <si>
    <t xml:space="preserve">
 1. Iron deficiency anemia
 2. Thalassemia
 3. Chronic blood loss
 4. Lead poisoning
 5. Bone marrow disorders
Micronutrients
1. Iron deficiency 
 2. Vitamin B12 deficiency 
 3. Folate deficiency 
 4. Copper deficiency 
 5. Vitamin D deficiency</t>
  </si>
  <si>
    <t xml:space="preserve">
 1. Macrocytic anemia (B12, folate deficiency)
 2. Hyperlipidemia
 3. Alcoholism
 4. Liver disease
 5. Hypothyroidism
Micronutrients
1. Vitamin B12 excess 
 2. Folate excess 
 3. Vitamin A excess 
 4. Alcohol excess 
 5. Chronic inflammation</t>
  </si>
  <si>
    <t xml:space="preserve">
 1. Iron deficiency anemia
 2. Thalassemia
 3. Blood loss
 4. Vitamin B12 or folate deficiency
 5. Chronic kidney disease
Micronutrients
1. Iron deficiency 
 2. Vitamin B12 deficiency 
 3. Folate deficiency 
 4. Copper deficiency 
 5. Vitamin D deficiency</t>
  </si>
  <si>
    <t xml:space="preserve">
 1. Spherocytosis
 2. Dehydration
 3. High altitude
 4. Liver disease
 5. Hereditary spherocytosis
Micronutrients
1. Iron overload 
 2. Chronic dehydration 
 3. Vitamin B12 supplementation 
 4. Folate supplementation 
 5. Chronic inflammation</t>
  </si>
  <si>
    <t xml:space="preserve">
 1. Hypochromic anemia (iron deficiency)
 2. Chronic blood loss (iron deficiency)
 3. Lead poisoning
 4. Anemia of chronic disease
 5. Thalassemia
Micronutrients
1. Iron deficiency 
 2. Vitamin B12 deficiency 
 3. Folate deficiency 
 4. Copper deficiency 
 5. Vitamin D deficiency</t>
  </si>
  <si>
    <t xml:space="preserve">
 1. Vitamin B12 or folate deficiency (macrocytic anemia)
 2. Liver disease
 3. Chronic inflammation
 4. Myelodysplastic syndromes
 5. Alcoholism
Micronutrients
1. Iron overload 
 2. Vitamin B12 supplementation 
 3. Folate supplementation 
 4. Chronic inflammation 
 5. Liver disease</t>
  </si>
  <si>
    <t xml:space="preserve">
 1. Iron deficiency anemia
 2. Thalassemia
 3. Bone marrow suppression
 4. Anemia of chronic disease
 5. Hemolytic anemia
Micronutrients
1. Iron deficiency 
 2. Vitamin B12 deficiency 
 3. Folate deficiency 
 4. Copper deficiency 
 5. Vitamin D deficiency</t>
  </si>
  <si>
    <t xml:space="preserve">
 1. Thrombocytosis (e.g., inflammation, infection)
 2. Polycythemia vera
 3. Chronic inflammation
 4. Iron deficiency anemia
 5. Myeloproliferative disorders
Micronutrients
1. Vitamin B12 excess 
 2. Iron overload 
 3. Vitamin D excess 
 4. Folic acid excess 
 5. Chronic inflammation</t>
  </si>
  <si>
    <t xml:space="preserve">
 1. Bone marrow disorders (e.g., leukemia)
 2. Viral infections (e.g., HIV, hepatitis)
 3. Aplastic anemia
 4. Vitamin B12 or folate deficiency
 5. Autoimmune diseases (e.g., lupus, ITP)
Micronutrients
1. Vitamin B12 deficiency 
 2. Folate deficiency 
 3. Iron deficiency 
 4. Vitamin D deficiency 
 5. Vitamin C deficiency</t>
  </si>
  <si>
    <t xml:space="preserve">
 1. Hemochromatosis
 2. Iron overload (e.g., transfusions)
 3. Chronic liver disease
 4. Hemolytic anemia
 5. Alcoholism
Micronutrients
1. Iron overload 
 2. Chronic inflammation 
 3. Vitamin B12 supplementation 
 4. Folic acid excess 
 5. Liver disease</t>
  </si>
  <si>
    <t xml:space="preserve">
 1. Iron deficiency anemia
 2. Chronic blood loss
 3. Pregnancy
 4. Malnutrition
 5. Chronic infections or inflammation
Micronutrients
1. Iron deficiency 
 2. Vitamin C deficiency 
 3. Copper deficiency 
 4. Vitamin B12 deficiency 
 5. Folate deficiency</t>
  </si>
  <si>
    <t xml:space="preserve">
 1. Hemochromatosis
 2. Iron overload (e.g., transfusions)
 3. Chronic liver disease
 4. Myelodysplastic syndromes
 5. Alcoholism
Micronutrients
1. Iron overload 
 2. Chronic inflammation 
 3. Vitamin B12 supplementation 
 4. Folic acid excess 
 5. Liver disease</t>
  </si>
  <si>
    <t xml:space="preserve">
 1. Iron deficiency anemia
 2. Chronic blood loss
 3. Pregnancy
 4. Malnutrition
 5. Chronic inflammation or infections
Micronutrients
1. Iron deficiency 
 2. Vitamin C deficiency 
 3. Copper deficiency 
 4. Vitamin B12 deficiency 
 5. Folate deficiency</t>
  </si>
  <si>
    <t xml:space="preserve">
 1. Leukemia
 2. Infections (bacterial, fungal)
 3. Inflammatory conditions (e.g., rheumatoid arthritis)
 4. Stress response
 5. Drug reactions (e.g., corticosteroids)
Micronutrients
1. Chronic inflammation 
 2. Vitamin B12 excess 
 3. Folate excess 
 4. Vitamin D excess 
 5. Iron excess</t>
  </si>
  <si>
    <t xml:space="preserve">
 1. Bone marrow failure (e.g., aplastic anemia)
 2. Viral infections (e.g., HIV, influenza)
 3. Chemotherapy or radiation
 4. Autoimmune diseases (e.g., lupus, ITP)
 5. Nutritional deficiencies (e.g., B12, folate)
Micronutrients
1. Vitamin B12 deficiency 
 2. Folate deficiency 
 3. Iron deficiency 
 4. Vitamin D deficiency 
 5. Vitamin C deficiency</t>
  </si>
  <si>
    <t xml:space="preserve">
 1. Acute bacterial infections (e.g., sepsis)
 2. Inflammatory conditions (e.g., rheumatoid arthritis)
 3. Myeloproliferative disorders
 4. Stress response
 5. Smoking
Micronutrients
1. Vitamin B12 excess 
 2. Folate excess 
 3. Chronic inflammation 
 4. Iron excess 
 5. Excessive vitamin D</t>
  </si>
  <si>
    <t xml:space="preserve">
 1. Bone marrow failure (e.g., aplastic anemia)
 2. Viral infections (e.g., HIV, influenza)
 3. Chemotherapy or radiation
 4. Autoimmune diseases (e.g., lupus)
 5. Severe infections (e.g., sepsis)
Micronutrients
1. Vitamin B12 deficiency 
 2. Folate deficiency 
 3. Iron deficiency 
 4. Vitamin D deficiency 
 5. Vitamin C deficiency</t>
  </si>
  <si>
    <t xml:space="preserve">
 1. Chronic lymphocytic leukemia (CLL)
 2. Chronic viral infections (e.g., hepatitis, HIV)
 3. Inflammatory conditions (e.g., rheumatoid arthritis)
 4. Stress response
 5. Recovery from acute infection
Micronutrients
1. Chronic inflammation 
 2. Vitamin B12 excess 
 3. Folate excess 
 4. Vitamin D excess 
 5. Iron excess</t>
  </si>
  <si>
    <t xml:space="preserve">
 1. Viral infections (e.g., HIV, influenza)
 2. Autoimmune diseases (e.g., lupus)
 3. Bone marrow failure (e.g., aplastic anemia)
 4. Chemotherapy or radiation therapy
 5. Severe acute infections (e.g., sepsis, bacterial)
Micronutrients
1. Vitamin B12 deficiency 
 2. Folate deficiency 
 3. Iron deficiency 
 4. Vitamin D deficiency 
 5. Vitamin C deficiency</t>
  </si>
  <si>
    <t xml:space="preserve">
 1. Chronic lymphocytic leukemia (CLL)
 2. Chronic viral infections (e.g., hepatitis, HIV)
 3. Inflammatory conditions (e.g., rheumatoid arthritis)
 4. Stress response
 5. Recovery from infection
Micronutrients
1. Chronic inflammation 
 2. Vitamin B12 excess 
 3. Folate excess 
 4. Vitamin D excess 
 5. Iron excess</t>
  </si>
  <si>
    <t xml:space="preserve">
 1. Viral infections (e.g., HIV, influenza)
 2. Autoimmune diseases (e.g., lupus)
 3. Bone marrow suppression (e.g., chemotherapy, radiation)
 4. Severe bacterial infections (e.g., sepsis)
 5. Acute infection (depletion of lymphocytes)
Micronutrients
1. Vitamin B12 deficiency 
 2. Folate deficiency 
 3. Iron deficiency 
 4. Vitamin D deficiency 
 5. Vitamin C deficiency</t>
  </si>
  <si>
    <t xml:space="preserve">
 1. Chronic infections (e.g., tuberculosis)
 2. Inflammatory conditions (e.g., rheumatoid arthritis, Crohn's disease)
 3. Myeloproliferative disorders (e.g., chronic myelogenous leukemia)
 4. Recovery from infections or surgeries
 5. Sarcoidosis
Micronutrients
1. Vitamin B12 excess 
 2. Folate excess 
 3. Chronic inflammation 
 4. Iron excess 
 5. Excessive vitamin D</t>
  </si>
  <si>
    <t xml:space="preserve">
 1. Bone marrow failure (e.g., aplastic anemia)
 2. Viral infections (e.g., HIV, influenza)
 3. Autoimmune diseases (e.g., lupus)
 4. Chemotherapy or radiation therapy
 5. Severe infections (e.g., sepsis, bacterial)
Micronutrients
1. Vitamin B12 deficiency 
 2. Folate deficiency 
 3. Iron deficiency 
 4. Vitamin D deficiency 
 5. Vitamin C deficiency</t>
  </si>
  <si>
    <t xml:space="preserve">
 1. Allergies (e.g., asthma, hay fever)
 2. Chronic inflammatory conditions (e.g., eosinophilic esophagitis)
 3. Parasitic infections (e.g., hookworms, roundworms)
 4. Autoimmune disorders (e.g., eosinophilic granulomatosis with polyangiitis)
 5. Drug reactions (e.g., penicillin, sulfa drugs)
Micronutrients
1. Chronic inflammation 
 2. Vitamin B12 excess 
 3. Folate excess 
 4. Vitamin D excess 
 5. Iron excess</t>
  </si>
  <si>
    <t xml:space="preserve">
 1. Hypereosinophilic syndrome (rare)
 2. Parasitic infections (e.g., roundworms, hookworms)
 3. Autoimmune disorders (e.g., eosinophilic granulomatosis with polyangiitis)
 4. Drug reactions (e.g., penicillin, sulfa drugs)
 5. Adrenal insufficiency (Addison's disease)
Micronutrients
1. Vitamin B12 deficiency 
 2. Folate deficiency 
 3. Iron deficiency 
 4. Vitamin D deficiency 
 5. Vitamin C deficiency</t>
  </si>
  <si>
    <t xml:space="preserve">
 1. Chronic myelogenous leukemia (CML)
 2. Inflammatory conditions (e.g., rheumatoid arthritis)
 3. Allergic reactions
 4. Hypothyroidism
 5. Myeloproliferative disorders
Micronutrients
1. Chronic inflammation 
 2. Vitamin B12 excess 
 3. Folate excess 
 4. Vitamin D excess 
 5. Iron excess</t>
  </si>
  <si>
    <t xml:space="preserve">
 1. Bone marrow suppression (e.g., aplastic anemia)
 2. Acute viral infections (e.g., influenza, measles)
 3. Allergic reactions (e.g., anaphylaxis)
 4. Chronic stress
 5. Hyperthyroidism
Micronutrients
1. Vitamin B12 deficiency 
 2. Folate deficiency 
 3. Iron deficiency 
 4. Vitamin D deficiency 
 5. Vitamin C deficiency</t>
  </si>
  <si>
    <t xml:space="preserve">
 1. Acute bacterial infections (e.g., sepsis, pneumonia)
 2. Chronic inflammation (e.g., rheumatoid arthritis)
 3. Leukemia
 4. Cancer
 5. Smoking
Micronutrients
1. Chronic inflammation 
 2. Vitamin B12 excess 
 3. Folate excess 
 4. Iron excess 
 5. Excessive vitamin D</t>
  </si>
  <si>
    <t xml:space="preserve">
 1. Viral infections (e.g., influenza, HIV)
 2. Bone marrow disorders
 3. Autoimmune diseases (e.g., lupus, rheumatoid arthritis)
 4. Chronic lymphocytic leukemia (CLL)
 5. Stress
Micronutrients
1. Vitamin B12 deficiency 
 2. Folate deficiency 
 3. Iron deficiency 
 4. Vitamin D deficiency 
 5. Vitamin C deficiency</t>
  </si>
  <si>
    <t xml:space="preserve">
 1. Acute inflammatory conditions (e.g., sepsis, bacterial infections)
 2. Cardiovascular disease (e.g., atherosclerosis)
 3. Obesity
 4. Autoimmune disorders (e.g., rheumatoid arthritis)
 5. Chronic inflammation
Micronutrients
1. Chronic inflammation 
 2. Iron excess 
 3. Vitamin D excess 
 4. Excessive omega-6 fatty acids 
 5. Obesity</t>
  </si>
  <si>
    <t xml:space="preserve">
 1. Malnutrition
 2. Liver diseases (e.g., cirrhosis, chronic hepatitis)
 3. Chronic infection (e.g., tuberculosis)
 4. Hypothyroidism
 5. Steroid use
Micronutrients
1. Vitamin D deficiency 
 2. Omega-3 fatty acid deficiency 
 3. Magnesium deficiency 
 4. Vitamin C deficiency 
 5. Chronic inflammation</t>
  </si>
  <si>
    <t xml:space="preserve">
 1. Inflammatory conditions (e.g., rheumatoid arthritis, lupus)
 2. Infection (e.g., tuberculosis, bacterial infections)
 3. Pregnancy
 4. Chronic kidney disease
 5. Cancer
Micronutrients
1. Chronic inflammation 
 2. Iron excess 
 3. Vitamin D excess 
 4. Excessive omega-6 fatty acids 
 5. Obesity</t>
  </si>
  <si>
    <t xml:space="preserve">
 1. Iron deficiency anemia
 2. Dehydration
 3. Hyperviscosity syndrome
 4. Leukemia or other hematological disorders
 5. Malnutrition
Micronutrients
1. Vitamin D deficiency 
 2. Omega-3 fatty acid deficiency 
 3. Magnesium deficiency 
 4. Vitamin C deficiency 
 5. Iron deficiency</t>
  </si>
  <si>
    <t xml:space="preserve">
 1. Iron overload (e.g., hemochromatosis)
 2. Inflammation (e.g., rheumatoid arthritis)
 3. Liver disease
 4. Chronic infections
 5. Malignancy
Micronutrients
1. Iron overload (e.g., hemochromatosis) 
 2. Chronic inflammation 
 3. Vitamin B12 excess 
 4. Folate excess 
 5. Alcohol excess</t>
  </si>
  <si>
    <t xml:space="preserve">
 1. Iron deficiency anemia
 2. Chronic blood loss (e.g., gastrointestinal bleeding)
 3. Malnutrition
 4. Pregnancy
 5. Kidney disease
Micronutrients
1. Iron deficiency 
 2. Vitamin C deficiency 
 3. Folate deficiency 
 4. Vitamin B12 deficiency 
 5. Copper deficiency</t>
  </si>
  <si>
    <t xml:space="preserve">
 1. Vitamin D toxicity (e.g., over-supplementation)
 2. Sarcoidosis
 3. Hyperparathyroidism
 4. Malignancies (e.g., lymphoma, breast cancer)
 5. Chronic granulomatous diseases
Micronutrients
1. Vitamin D excess 
 2. Calcium excess 
 3. Magnesium excess 
 4. Phosphorus excess 
 5. Vitamin A excess</t>
  </si>
  <si>
    <t xml:space="preserve">
 1. Vitamin D deficiency (e.g., inadequate sun exposure, poor diet)
 2. Malabsorption syndromes (e.g., celiac disease)
 3. Chronic kidney disease
 4. Liver disease
 5. Use of certain medications (e.g., anticonvulsants)
Micronutrients
1. Vitamin D deficiency 
 2. Calcium deficiency 
 3. Magnesium deficiency 
 4. Iron deficiency 
 5. Phosphorus deficiency</t>
  </si>
  <si>
    <t xml:space="preserve">
 1. Vitamin B12 excess (e.g., supplementation)
 2. Liver disease
 3. Hematologic disorders (e.g., leukemia)
 4. Kidney disease
 5. Certain cancers (e.g., pancreatic cancer)
Micronutrients
1. Vitamin B12 excess 
 2. Folate excess 
 3. Iron overload 
 4. Vitamin A excess 
 5. Excessive protein intake</t>
  </si>
  <si>
    <t xml:space="preserve">
 1. Vitamin B12 deficiency (e.g., pernicious anemia, vegetarian diet)
 2. Malabsorption (e.g., celiac disease, Crohn's disease)
 3. Chronic alcohol use
 4. Atrophic gastritis
 5. Medication use (e.g., metformin, proton pump inhibitors)
Micronutrients
1. Vitamin B12 deficiency 
 2. Folate deficiency 
 3. Iron deficiency 
 4. Vitamin D deficiency 
 5. Zinc deficiency</t>
  </si>
  <si>
    <t xml:space="preserve">
 1. Gout
 2. Kidney disease
 3. Dehydration
 4. Hematologic disorders (e.g., leukemia)
 5. Excessive purine consumption (e.g., organ meats, shellfish)
Micronutrients
1. Purine-rich foods (e.g., red meat, seafood) 
 2. Alcohol excess 
 3. Fructose excess 
 4. Vitamin C excess 
 5. Obesity</t>
  </si>
  <si>
    <t xml:space="preserve">
 1. Gout
 2. Chronic kidney disease
 3. Starvation or fasting
 4. Alcoholism (e.g., beer, wine)
 5. Diuretics use
Micronutrients
1. Folate deficiency 
 2. Vitamin C deficiency 
 3. Magnesium deficiency 
 4. Iron deficiency 
 5. Vitamin B12 deficiency</t>
  </si>
  <si>
    <t xml:space="preserve">
 1. Cardiovascular disease (e.g., coronary artery disease, stroke)
 2. Vitamin B6, B12, or folate deficiency
 3. Renal disease
 4. MTHFR gene mutations
 5. Pregnancy
Micronutrients
1. Excessive protein intake 
 2. Folate excess 
 3. Vitamin B12 supplementation 
 4. Vitamin B6 supplementation 
 5. High intake of methionine-rich foods</t>
  </si>
  <si>
    <t xml:space="preserve">
 1. Folate deficiency
 2. Vitamin B12 deficiency
 3. Genetic disorders (e.g., homocystinuria)
 4. Chronic kidney disease
 5. Smoking
Micronutrients
1. Vitamin B12 deficiency 
 2. Folate deficiency 
 3. Vitamin B6 deficiency 
 4. Iron deficiency 
 5. Magnesium deficiency</t>
  </si>
  <si>
    <t xml:space="preserve">
 1. Selenium toxicity (e.g., excessive supplementation)
 2. Exposure to environmental toxins
 3. Acute selenosis
 4. Lung cancer
 5. Cirrhosis
Micronutrients
1. Selenium excess (can be toxic) 
 2. Vitamin E excess 
 3. Iodine excess 
 4. Iron excess 
 5. Vitamin C excess</t>
  </si>
  <si>
    <t xml:space="preserve">
 1. Selenium deficiency (e.g., malnutrition, poor diet)
 2. Malabsorption syndromes (e.g., celiac disease)
 3. Kidney disease
 4. Hyperthyroidism
 5. Antioxidant deficiencies
Micronutrients
1. Selenium deficiency 
 2. Vitamin E deficiency 
 3. Iron deficiency 
 4. Iodine deficiency 
 5. Vitamin C deficiency</t>
  </si>
  <si>
    <t xml:space="preserve">
 1. Diabetes mellitus
 2. Stress hyperglycemia
 3. Cushing's syndrome
 4. Pancreatic disorders (e.g., pancreatitis, tumors)
 5. Hyperthyroidism
Micronutrients
1. High sugar intake 
 2. Excessive carbohydrate intake 
 3. Magnesium excess 
 4. Vitamin B12 excess 
 5. Vitamin D excess</t>
  </si>
  <si>
    <t xml:space="preserve">
 1. Hypoglycemia (e.g., insulin overdose, starvation)
 2. Addison's disease
 3. Malnutrition
 4. Liver disease
 5. Alcohol-induced hypoglycemia
Micronutrients
1. Chromium deficiency 
 2. Magnesium deficiency 
 3. Zinc deficiency 
 4. Vitamin D deficiency 
 5. Vitamin C deficiency</t>
  </si>
  <si>
    <t xml:space="preserve">
 1. Diabetes mellitus (poorly controlled)
 2. Chronic stress
 3. Chronic inflammation
 4. Corticosteroid use
 5. Obesity
Micronutrients
1. Excessive carbohydrate intake 
 2. Excessive alcohol consumption 
 3. Obesity 
 4. High protein diet 
 5. Excessive stress</t>
  </si>
  <si>
    <t xml:space="preserve">
 1. Hypoglycemia (e.g., insulin overdose, starvation)
 2. Hemolytic anemia
 3. Chronic kidney disease
 4. Liver disease
 5. Pregnancy
Micronutrients
1. Chromium deficiency 
 2. Magnesium deficiency 
 3. Zinc deficiency 
 4. Vitamin D deficiency 
 5. Vitamin C deficiency</t>
  </si>
  <si>
    <t xml:space="preserve">
 1. Diabetes mellitus
 2. Insulin resistance (pre-diabetes)
 3. Cushing's syndrome
 4. Pancreatic disorders
 5. Stress hyperglycemia
Micronutrients
1. Excessive sugar intake 
 2. High carbohydrate intake 
 3. Magnesium excess 
 4. Vitamin B12 excess 
 5. Excessive vitamin D</t>
  </si>
  <si>
    <t xml:space="preserve">
 1. Insulin resistance (pre-diabetes)
 2. Hypoglycemia (e.g., insulin overdose)
 3. Liver disease
 4. Medications (e.g., sulfonylureas)
 5. Malabsorption syndromes
Micronutrients
1. Chromium deficiency 
 2. Magnesium deficiency 
 3. Zinc deficiency 
 4. Vitamin D deficiency 
 5. Vitamin C deficiency</t>
  </si>
  <si>
    <t xml:space="preserve">
 1. Insulinoma (pancreatic tumor)
 2. Renal failure (reduced clearance)
 3. Chronic stress
 4. High-dose steroids
 5. Cushing's syndrome
Micronutrients
1. Excessive insulin secretion (e.g., insulinoma) 
 2. Chronic stress 
 3. Obesity 
 4. Excessive glucose consumption 
 5. Excessive vitamin D</t>
  </si>
  <si>
    <t xml:space="preserve">
 1. Insulin resistance (pre-diabetes)
 2. Hypoglycemia (e.g., insulin overdose)
 3. Chronic kidney disease
 4. Hypothyroidism
 5. Liver disease
Micronutrients
1. Chromium deficiency 
 2. Magnesium deficiency 
 3. Zinc deficiency 
 4. Vitamin D deficiency 
 5. Vitamin C deficiency</t>
  </si>
  <si>
    <t xml:space="preserve">
 1. Insulin resistance
 2. Type 2 diabetes
 3. Obesity
 4. Metabolic syndrome
 5. Stress or inflammation
Micronutrients
1. Insulin resistance (e.g., metabolic syndrome, obesity) 
 2. Excessive carbohydrate intake 
 3. Magnesium excess 
 4. Excessive vitamin D 
 5. Stress-induced hyperinsulinemia</t>
  </si>
  <si>
    <t xml:space="preserve">
 1. Insulin resistance (pre-diabetes)
 2. Hypoglycemia
 3. Chronic kidney disease
 4. Malnutrition
 5. Liver disease
Micronutrients
1. Chromium deficiency 
 2. Magnesium deficiency 
 3. Zinc deficiency 
 4. Vitamin D deficiency 
 5. Vitamin C deficiency</t>
  </si>
  <si>
    <t xml:space="preserve">
 1. Insulin resistance (pre-diabetes)
 2. Type 2 diabetes
 3. Obesity
 4. Metabolic syndrome
 5. Stress or infection
Micronutrients
1. Excessive carbohydrate intake 
 2. Insulin resistance 
 3. Obesity 
 4. Chronic stress 
 5. Excessive sugar intake</t>
  </si>
  <si>
    <t xml:space="preserve">
 1. Insulin resistance (pre-diabetes)
 2. Hypoglycemia (e.g., insulin overdose)
 3. Liver disease
 4. Malabsorption syndromes
 5. Pancreatic disorders
Micronutrients
1. Chromium deficiency 
 2. Magnesium deficiency 
 3. Zinc deficiency 
 4. Vitamin D deficiency 
 5. Vitamin C deficiency</t>
  </si>
  <si>
    <t xml:space="preserve">
 1. Insulin resistance
 2. Type 2 diabetes
 3. Obesity
 4. Metabolic syndrome
 5. Polycystic ovary syndrome (PCOS)
Micronutrients
1. Excessive carbohydrate intake 
 2. Obesity 
 3. Chronic stress 
 4. Excessive sugar intake 
 5. Vitamin D excess</t>
  </si>
  <si>
    <t xml:space="preserve">
 1. Hypoglycemia
 2. Malnutrition
 3. Chronic kidney disease
 4. Liver disease
 5. Stress
Micronutrients
1. Magnesium deficiency 
 2. Chromium deficiency 
 3. Zinc deficiency 
 4. Vitamin D deficiency 
 5. Vitamin C deficiency</t>
  </si>
  <si>
    <t xml:space="preserve">
 1. Insulin resistance
 2. Type 2 diabetes
 3. Pancreatic tumors
 4. Obesity
 5. Stress-induced hyperglycemia
Micronutrients
1. Excessive sugar intake 
 2. High carbohydrate intake 
 3. Chronic stress 
 4. Insulin resistance 
 5. Obesity</t>
  </si>
  <si>
    <t xml:space="preserve">
 1. Prolonged fasting
 2. Insulin overdose
 3. Adrenal insufficiency (e.g., Addison's disease)
 4. Liver disease
 5. Tumors (e.g., insulinoma)
Micronutrients
1. Chromium deficiency 
 2. Magnesium deficiency 
 3. Zinc deficiency 
 4. Vitamin D deficiency 
 5. Vitamin C deficiency</t>
  </si>
  <si>
    <t xml:space="preserve">
 1. Hypercholesterolemia
 2. Cardiovascular disease (e.g., atherosclerosis)
 3. Poor diet (e.g., high-fat intake)
 4. Diabetes mellitus
 5. Obesity
Micronutrients
1. Excessive saturated fats 
 2. Excessive trans fats 
 3. Obesity 
 4. Chronic inflammation 
 5. Excessive alcohol intake</t>
  </si>
  <si>
    <t xml:space="preserve">
 1. Hypothyroidism
 2. Malnutrition
 3. Liver disease
 4. Chronic kidney disease
 5. Genetic disorders (e.g., familial hypo-beta-lipoproteinemia)
Micronutrients
1. Omega-3 fatty acid deficiency 
 2. Niacin (Vitamin B3) deficiency 
 3. Soluble fiber deficiency 
 4. Magnesium deficiency 
 5. Vitamin D deficiency</t>
  </si>
  <si>
    <t xml:space="preserve">
 1. Cardiovascular disease (e.g., atherosclerosis)
 2. High alcohol intake
 3. Obesity
 4. Cholestasis
 5. Chronic inflammation
Micronutrients
1. Excessive omega-3 fatty acid intake 
 2. Excessive alcohol intake 
 3. Excessive vitamin A 
 4. Excessive vitamin D 
 5. Chronic inflammation</t>
  </si>
  <si>
    <t xml:space="preserve">
 1. Cardiovascular disease (low HDL)
 2. Diabetes mellitus
 3. Liver disease
 4. Hypothyroidism
 5. Smoking
Micronutrients
1. Omega-3 fatty acid deficiency 
 2. Niacin (Vitamin B3) deficiency 
 3. Magnesium deficiency 
 4. Soluble fiber deficiency 
 5. Vitamin D deficiency</t>
  </si>
  <si>
    <t xml:space="preserve">
 1. Hyperlipidemia
 2. Obesity
 3. Insulin resistance
 4. Type 2 diabetes
 5. Alcoholism
Micronutrients
1. Excessive alcohol consumption 
 2. Excessive carbohydrate intake 
 3. Trans fat excess 
 4. Obesity 
 5. Excessive omega-6 fatty acid intake</t>
  </si>
  <si>
    <t xml:space="preserve">
 1. Malnutrition
 2. Hyperthyroidism
 3. Chronic kidney disease
 4. Type 1 diabetes
 5. Liver disease (e.g., cirrhosis)
Micronutrients
1. Omega-3 fatty acid deficiency 
 2. Magnesium deficiency 
 3. Fiber deficiency 
 4. Vitamin D deficiency 
 5. Excessive carbohydrate intake</t>
  </si>
  <si>
    <t xml:space="preserve">
 1. Low HDL levels (bad cholesterol)
 2. High total cholesterol
 3. Cardiovascular diseases
 4. Obesity
 5. Smoking
Micronutrients
1. Excessive trans fats 
 2. Excessive saturated fats 
 3. Obesity 
 4. Excessive alcohol intake 
 5. Chronic inflammation</t>
  </si>
  <si>
    <t xml:space="preserve">
 1. High HDL levels (good cholesterol)
 2. Low total cholesterol
 3. Malnutrition
 4. Chronic kidney disease
 5. Hypothyroidism
Micronutrients
1. Omega-3 fatty acid deficiency 
 2. Vitamin B3 deficiency 
 3. Soluble fiber deficiency 
 4. Magnesium deficiency 
 5. Vitamin D deficiency</t>
  </si>
  <si>
    <t xml:space="preserve">
 1. Insulin resistance
 2. Metabolic syndrome
 3. Obesity
 4. Type 2 diabetes
 5. Hyperlipidemia
Micronutrients
1. Excessive carbohydrate intake 
 2. Obesity 
 3. Excessive alcohol intake 
 4. Excessive omega-6 fatty acid intake 
 5. Excessive trans fats</t>
  </si>
  <si>
    <t xml:space="preserve">
 1. High HDL levels (good cholesterol)
 2. Low triglyceride levels
 3. Cardiovascular disease risk factors
 4. Insulin sensitivity
 5. Hypothyroidism
Micronutrients
1. Omega-3 fatty acid deficiency 
 2. Magnesium deficiency 
 3. Fiber deficiency 
 4. Vitamin D deficiency 
 5. Excessive carbohydrate intake</t>
  </si>
  <si>
    <t xml:space="preserve">
 1. Liver disease (e.g., cirrhosis, hepatitis)
 2. Hemolysis (e.g., hemolytic anemia)
 3. Gallstones
 4. Biliary obstruction
 5. Neonatal jaundice
Micronutrients
1. Liver disease 
 2. Hemolysis 
 3. Excessive alcohol intake 
 4. Vitamin B12 excess 
 5. Folate excess</t>
  </si>
  <si>
    <t xml:space="preserve">
 1. Anemia (e.g., hemolysis)
 2. Liver diseases (e.g., hepatitis, cirrhosis)
 3. Bile duct obstruction
 4. Gilbert's syndrome (benign)
 5. Neonatal jaundice
Micronutrients
1. Vitamin B12 deficiency 
 2. Folate deficiency 
 3. Vitamin C deficiency 
 4. Iron deficiency 
 5. Magnesium deficiency</t>
  </si>
  <si>
    <t xml:space="preserve">
 1. Cirrhosis
 2. Hepatitis C
 3. Alcoholic liver disease
 4. Obesity
 5. Type 2 diabetes
Micronutrients
1. Excessive fat intake 
 2. Excessive alcohol intake 
 3. Obesity 
 4. High sugar intake 
 5. Omega-6 fatty acid excess</t>
  </si>
  <si>
    <t xml:space="preserve">
 1. Non-alcoholic fatty liver disease (NAFLD)
 2. Obesity
 3. Type 2 diabetes
 4. Metabolic syndrome
 5. Insulin resistance
Micronutrients
1. Omega-3 fatty acid deficiency 
 2. Magnesium deficiency 
 3. Vitamin D deficiency 
 4. Vitamin E deficiency 
 5. Choline deficiency</t>
  </si>
  <si>
    <t xml:space="preserve">
 1. Liver diseases (e.g., hepatitis, cirrhosis)
 2. Alcoholism
 3. Non-alcoholic fatty liver disease (NAFLD)
 4. Obesity
 5. Chronic inflammation
Micronutrients
1. Liver disease (e.g., hepatitis) 
 2. Excessive alcohol consumption 
 3. Fatty liver disease 
 4. Obesity 
 5. Excessive vitamin A intake</t>
  </si>
  <si>
    <t xml:space="preserve">
 1. Liver diseases (e.g., hepatitis, cirrhosis)
 2. Alcoholism
 3. Non-alcoholic fatty liver disease (NAFLD)
 4. Muscle injury
 5. Medications (e.g., statins, acetaminophen)
Micronutrients
1. Vitamin C deficiency 
 2. Magnesium deficiency 
 3. Vitamin B6 deficiency 
 4. Vitamin D deficiency 
 5. Iron deficiency</t>
  </si>
  <si>
    <t xml:space="preserve">
 1. Liver diseases (e.g., hepatitis, cirrhosis)
 2. Muscle injury (e.g., myocardial infarction, muscle trauma)
 3. Acute alcohol intoxication
 4. Hemolysis
 5. Medications (e.g., statins)
Micronutrients
1. Liver disease (e.g., hepatitis) 
 2. Excessive alcohol consumption 
 3. Fatty liver disease 
 4. Obesity 
 5. Excessive vitamin A intake</t>
  </si>
  <si>
    <t xml:space="preserve">
 1. Liver diseases (e.g., hepatitis, cirrhosis)
 2. Muscle injury (e.g., myocardial infarction, muscle trauma)
 3. Acute alcohol intoxication
 4. Hemolysis
 5. Medications (e.g., statins)
Micronutrients
1. Vitamin C deficiency 
 2. Magnesium deficiency 
 3. Vitamin B6 deficiency 
 4. Vitamin D deficiency 
 5. Iron deficiency</t>
  </si>
  <si>
    <t xml:space="preserve">
 1. Liver diseases (e.g., cirrhosis, hepatitis)
 2. Bone disorders (e.g., Paget's disease, osteomalacia)
 3. Bone metastases
 4. Biliary obstruction
 5. Pregnancy
Micronutrients
1. Liver disease 
 2. Bone disorders (e.g., Paget's disease) 
 3. Hyperparathyroidism 
 4. Vitamin D excess 
 5. Obesity</t>
  </si>
  <si>
    <t xml:space="preserve">
 1. Hypophosphatasia (genetic disorder)
 2. Malnutrition
 3. Hypothyroidism
 4. Vitamin D deficiency
 5. Magnesium deficiency
Micronutrients
1. Vitamin D deficiency 
 2. Magnesium deficiency 
 3. Zinc deficiency 
 4. Vitamin B12 deficiency 
 5. Copper deficiency</t>
  </si>
  <si>
    <t xml:space="preserve">
 1. Chronic inflammation
 2. Multiple myeloma
 3. Dehydration
 4. Liver diseases
 5. Hemoconcentration
Micronutrients
1. Dehydration 
 2. Chronic inflammation 
 3. Excessive protein intake 
 4. Liver disease 
 5. Kidney disease</t>
  </si>
  <si>
    <t xml:space="preserve">
 1. Malnutrition
 2. Liver disease (e.g., cirrhosis)
 3. Kidney disease (e.g., nephrotic syndrome)
 4. Gastrointestinal disorders (e.g., Crohn’s disease)
 5. Chronic blood loss
Micronutrients
1. Protein deficiency 
 2. Amino acid deficiency 
 3. Vitamin C deficiency 
 4. Vitamin B6 deficiency 
 5. Folate deficiency</t>
  </si>
  <si>
    <t xml:space="preserve">
 1. Dehydration
 2. Severe chronic inflammation
 3. Multiple myeloma
 4. Liver disease (e.g., cirrhosis)
 5. Overhydration
Micronutrients
1. Dehydration 
 2. Chronic inflammation 
 3. Liver disease 
 4. Kidney disease 
 5. Excessive protein intake</t>
  </si>
  <si>
    <t xml:space="preserve">
 1. Liver disease (e.g., cirrhosis)
 2. Kidney disease (e.g., nephrotic syndrome)
 3. Malnutrition
 4. Gastrointestinal disorders (e.g., Crohn’s disease)
 5. Inflammatory diseases
Micronutrients
1. Protein deficiency 
 2. Vitamin C deficiency 
 3. Vitamin B6 deficiency 
 4. Folate deficiency 
 5. Magnesium deficiency</t>
  </si>
  <si>
    <t xml:space="preserve">
 1. Chronic inflammatory conditions (e.g., rheumatoid arthritis)
 2. Liver disease (e.g., cirrhosis)
 3. Multiple myeloma
 4. Dehydration
 5. Chronic infection
Micronutrients
1. Chronic inflammation 
 2. Liver disease 
 3. Multiple myeloma 
 4. Autoimmune diseases 
 5. Infections</t>
  </si>
  <si>
    <t xml:space="preserve">
 1. Liver disease (e.g., cirrhosis)
 2. Kidney disease (e.g., nephrotic syndrome)
 3. Malnutrition
 4. Autoimmune diseases (e.g., lupus)
 5. Chronic infections (e.g., tuberculosis)
Micronutrients
1. Protein deficiency 
 2. Folate deficiency 
 3. Vitamin C deficiency 
 4. Vitamin B6 deficiency 
 5. Iron deficiency</t>
  </si>
  <si>
    <t xml:space="preserve">
 1. Alcoholism
 2. Liver disease (e.g., cirrhosis, hepatitis)
 3. Cholestasis
 4. Pancreatitis
 5. Obesity
Micronutrients
1. Excessive alcohol intake 
 2. Liver disease 
 3. Obesity 
 4. Chronic inflammation 
 5. Excessive vitamin A intake</t>
  </si>
  <si>
    <t xml:space="preserve">
 1. Malnutrition
 2. Hypothyroidism
 3. Liver cirrhosis
 4. Bone disorders (e.g., Paget’s disease)
 5. Vitamin D deficiency
Micronutrients
1. Vitamin C deficiency 
 2. Magnesium deficiency 
 3. Vitamin B6 deficiency 
 4. Folate deficiency 
 5. Iron deficiency</t>
  </si>
  <si>
    <t xml:space="preserve">
 1. Chronic oxidative stress
 2. Acute infections (e.g., sepsis)
 3. Liver disease (e.g., cirrhosis)
 4. Cancer
 5. Diabetes mellitus
Micronutrients
1. Excessive alcohol consumption 
 2. Chronic inflammation 
 3. Obesity 
 4. High sugar intake 
 5. Excessive iron intake</t>
  </si>
  <si>
    <t xml:space="preserve">
 1. Chronic liver disease (e.g., cirrhosis, hepatitis)
 2. Malnutrition
 3. Aging
 4. Stress
 5. Toxins (e.g., alcohol, tobacco)
Micronutrients
1. Vitamin C deficiency 
 2. Magnesium deficiency 
 3. Vitamin B6 deficiency 
 4. Selenium deficiency 
 5. Zinc deficiency</t>
  </si>
  <si>
    <t xml:space="preserve">
 1. Chronic kidney disease
 2. Dehydration
 3. Muscle wasting (e.g., cachexia, muscle atrophy)
 4. Diabetes mellitus
 5. High-protein diet
Micronutrients
1. Kidney disease 
 2. Dehydration 
 3. Excessive protein intake 
 4. Muscle damage 
 5. High creatine intake</t>
  </si>
  <si>
    <t xml:space="preserve">
 1. Dehydration
 2. Malnutrition
 3. Severe liver disease
 4. Pregnancy (increased blood volume)
 5. Acute kidney injury (early stage)
Micronutrients
1. Creatine deficiency 
 2. Protein deficiency 
 3. Vitamin B6 deficiency 
 4. Vitamin D deficiency 
 5. Magnesium deficiency</t>
  </si>
  <si>
    <t xml:space="preserve">
 1. Chronic kidney disease (CKD)
 2. High-protein diet
 3. Dehydration
 4. Bleeding (e.g., gastrointestinal)
 5. Heart failure
Micronutrients
1. Kidney disease 
 2. Dehydration 
 3. Excessive protein intake 
 4. Liver disease 
 5. Chronic inflammation</t>
  </si>
  <si>
    <t xml:space="preserve">
 1. Malnutrition
 2. Severe liver disease (e.g., cirrhosis)
 3. Excessive fluid intake
 4. Dehydration
 5. Low-protein diet
Micronutrients
1. Protein deficiency 
 2. Vitamin C deficiency 
 3. Magnesium deficiency 
 4. Vitamin B6 deficiency 
 5. Folate deficiency</t>
  </si>
  <si>
    <t xml:space="preserve">
 1. Chronic kidney disease (CKD)
 2. Dehydration
 3. High-protein diet
 4. Heart failure
 5. GI bleeding
Micronutrients
1. Kidney disease 
 2. Dehydration 
 3. Excessive protein intake 
 4. Liver disease 
 5. Chronic inflammation</t>
  </si>
  <si>
    <t xml:space="preserve">
 1. Malnutrition
 2. Liver disease (e.g., cirrhosis)
 3. Hypotension
 4. Overhydration
 5. Low-protein diet
Micronutrients
1. Protein deficiency 
 2. Vitamin C deficiency 
 3. Magnesium deficiency 
 4. Vitamin B6 deficiency 
 5. Folate deficiency</t>
  </si>
  <si>
    <t xml:space="preserve">
 1. Hyperparathyroidism
 2. Hypercalcemia (e.g., cancers, bone metastases)
 3. Dehydration
 4. Vitamin D toxicity
 5. Paget's disease
Micronutrients
1. Calcium excess (can lead to kidney stones, calcification) 
 2. Vitamin D excess 
 3. Magnesium excess 
 4. Phosphorus excess 
 5. Excessive dairy intake</t>
  </si>
  <si>
    <t xml:space="preserve">
 1. Hypoparathyroidism
 2. Vitamin D deficiency
 3. Kidney disease (e.g., chronic kidney disease)
 4. Magnesium deficiency
 5. Malnutrition
Micronutrients
1. Calcium deficiency 
 2. Vitamin D deficiency 
 3. Magnesium deficiency 
 4. Vitamin K deficiency 
 5. Boron deficiency</t>
  </si>
  <si>
    <t xml:space="preserve">
 1. Dehydration
 2. Hyperaldosteronism
 3. Cushing's syndrome
 4. Kidney failure (e.g., acute renal failure)
 5. Excessive salt intake
Micronutrients
1. Sodium excess (due to high salt intake) 
 2. Chronic kidney disease 
 3. Excessive fluid retention 
 4. Adrenal gland disorders (e.g., hyperaldosteronism) 
 5. Heart failure</t>
  </si>
  <si>
    <t xml:space="preserve">
 1. Addison's disease
 2. Kidney disease (e.g., nephrotic syndrome)
 3. Severe dehydration
 4. Diuretic use
 5. Excessive water intake
Micronutrients
1. Sodium deficiency (often caused by dehydration, or low salt intake) 
 2. Potassium deficiency 
 3. Magnesium deficiency 
 4. Vitamin C deficiency 
 5. B12 deficiency</t>
  </si>
  <si>
    <t xml:space="preserve">
 1. Hyperkalemia (e.g., kidney failure, acidosis)
 2. Medications (e.g., ACE inhibitors, potassium-sparing diuretics)
 3. Tissue breakdown (e.g., burns, rhabdomyolysis)
 4. Dehydration
 5. Renal disease
Micronutrients
1. Potassium excess (due to kidney disease, excessive potassium supplements) 
 2. Magnesium excess 
 3. Renal failure 
 4. Metabolic acidosis 
 5. Excessive intake of potassium-rich foods</t>
  </si>
  <si>
    <t xml:space="preserve">
 1. Hypokalemia (e.g., diarrhea, vomiting)
 2. Kidney disease (e.g., Addison's disease)
 3. Malnutrition
 4. Diuretic use
 5. Alcoholism
Micronutrients
1. Potassium deficiency 
 2. Magnesium deficiency 
 3. Vitamin D deficiency 
 4. Calcium deficiency 
 5. Sodium excess</t>
  </si>
  <si>
    <t xml:space="preserve">
 1. Hyperchloremia (e.g., dehydration, kidney failure)
 2. Hypernatremia
 3. Metabolic acidosis (e.g., diabetic ketoacidosis)
 4. Respiratory acidosis
 5. Kidney disease
Micronutrients
1. Chloride excess (due to excessive salt intake) 
 2. Kidney disease 
 3. Dehydration 
 4. Chronic metabolic acidosis 
 5. Heart failure</t>
  </si>
  <si>
    <t xml:space="preserve">
 1. Hyponatremia
 2. Metabolic alkalosis
 3. Dehydration
 4. Diuretic use
 5. Chronic respiratory acidosis
Micronutrients
1. Chloride deficiency 
 2. Sodium deficiency 
 3. Potassium deficiency 
 4. Magnesium deficiency 
 5. Vitamin C deficiency</t>
  </si>
  <si>
    <t xml:space="preserve">
 1. Hyperphosphatemia (e.g., kidney failure, excessive intake)
 2. Bone disease (e.g., hyperparathyroidism)
 3. Hemolysis
 4. Tumor lysis syndrome
 5. Acute kidney injury
Micronutrients
1. Phosphorus excess (due to excessive dairy or meat consumption, kidney disease) 
 2. Vitamin D excess 
 3. Calcium excess 
 4. Magnesium excess 
 5. Renal failure</t>
  </si>
  <si>
    <t xml:space="preserve">
 1. Hypophosphatemia (e.g., malnutrition, alcohol use)
 2. Hyperparathyroidism
 3. Diabetic ketoacidosis
 4. Respiratory alkalosis
 5. Chronic kidney disease
Micronutrients
1. Phosphorus deficiency 
 2. Vitamin D deficiency 
 3. Magnesium deficiency 
 4. Calcium deficiency 
 5. Vitamin K deficiency</t>
  </si>
  <si>
    <t xml:space="preserve">
 1. Hypermagnesemia (e.g., kidney failure, excessive supplementation)
 2. Dehydration
 3. Metabolic acidosis
 4. Hypothyroidism
 5. Addison's disease
Micronutrients
1. Magnesium excess (rare, but may occur with kidney disease) 
 2. Calcium excess 
 3. Potassium excess 
 4. Vitamin D excess 
 5. Excessive magnesium supplementation</t>
  </si>
  <si>
    <t xml:space="preserve">
 1. Hypomagnesemia (e.g., malnutrition, alcohol use, kidney disease)
 2. Diuretic use
 3. Diabetic ketoacidosis
 4. Malabsorption syndromes (e.g., celiac disease)
 5. Vomiting/diarrhea
Micronutrients
1. Magnesium deficiency 
 2. Vitamin D deficiency 
 3. Calcium deficiency 
 4. Potassium deficiency 
 5. B6 deficiency</t>
  </si>
  <si>
    <t xml:space="preserve">
 1. Hyponatremia (e.g., water intoxication)
 2. Renal failure
 3. Hyperglycemia (e.g., diabetic ketoacidosis)
 4. Hypernatremia
 5. Osmotic diuresis
Micronutrients
1. Excessive sodium intake 
 2. Kidney disease 
 3. Hyperglycemia 
 4. Hypernatremia 
 5. Excessive fluid retention</t>
  </si>
  <si>
    <t xml:space="preserve">
 1. Dehydration (increased osmolality)
 2. Hypovolemia
 3. Hyperglycemia (e.g., diabetic ketoacidosis)
 4. Renal failure
 5. Salt poisoning
Micronutrients
1. Dehydration (lack of fluids) 
 2. Sodium deficiency 
 3. Potassium deficiency 
 4. Magnesium deficiency 
 5. Vitamin C deficiency</t>
  </si>
  <si>
    <t xml:space="preserve">
 1. Polycythemia vera
 2. Dehydration
 3. Increased red blood cell mass
 4. Hypergammaglobulinemia
 5. Chronic inflammatory states
Micronutrients
1. Excessive red blood cell production (Polycythemia) 
 2. Dehydration 
 3. Excessive fibrinogen levels 
 4. High protein intake 
 5. Obesity</t>
  </si>
  <si>
    <t xml:space="preserve">
 1. Anemia (decreased viscosity)
 2. Hypoproteinemia (e.g., liver disease, nephrotic syndrome)
 3. Dehydration (e.g., vomiting, diarrhea)
 4. Severe blood loss
 5. Chronic kidney disease
Micronutrients
1. Dehydration 
 2. Magnesium deficiency 
 3. Vitamin C deficiency 
 4. Vitamin E deficiency 
 5. B12 deficiency</t>
  </si>
  <si>
    <t xml:space="preserve">
 1. Hyperthyroidism
 2. Thyroid hormone resistance
 3. Pregnancy (increased during early stages)
 4. Acute illness (e.g., infection, stress)
 5. Excessive iodine intake
Micronutrients
1. Hyperthyroidism 
 2. Excessive thyroid hormone supplementation 
 3. Excessive iodine intake 
 4. Vitamin D excess 
 5. Excessive selenium</t>
  </si>
  <si>
    <t xml:space="preserve">
 1. Hypothyroidism
 2. Nutritional deficiencies (e.g., iodine, selenium)
 3. Chronic illness
 4. Pituitary disease (secondary hypothyroidism)
 5. Medications (e.g., lithium)
Micronutrients
1. Iodine deficiency 
 2. Selenium deficiency 
 3. Vitamin D deficiency 
 4. Magnesium deficiency 
 5. Zinc deficiency</t>
  </si>
  <si>
    <t xml:space="preserve">
 1. Hyperthyroidism (e.g., Graves’ disease, toxic goiter)
 2. Thyroiditis
 3. Pregnancy (increased during early stages)
 4. Medications (e.g., steroids, contraceptives)
 5. Acute stress or illness
Micronutrients
1. Hyperthyroidism 
 2. Excessive thyroid hormone supplementation 
 3. Excessive iodine intake 
 4. Excessive selenium 
 5. Vitamin D excess</t>
  </si>
  <si>
    <t xml:space="preserve">
 1. Hypothyroidism
 2. Severe illness or stress (non-thyroidal illness syndrome)
 3. Iodine deficiency
 4. Pituitary disease
 5. Medications (e.g., amiodarone, lithium)
Micronutrients
1. Iodine deficiency 
 2. Selenium deficiency 
 3. Magnesium deficiency 
 4. Zinc deficiency 
 5. Vitamin D deficiency</t>
  </si>
  <si>
    <t xml:space="preserve">
 1. Hyperthyroidism (e.g., Graves' disease)
 2. Subclinical hyperthyroidism
 3. Pituitary adenoma (primary hyperthyroidism)
 4. Pregnancy (early stages)
 5. Stress-induced conditions
Micronutrients
1. Hypothyroidism (low thyroid activity) 
 2. High levels of thyroid-stimulating hormone 
 3. Excessive iodine intake 
 4. Vitamin D excess 
 5. Excessive selenium</t>
  </si>
  <si>
    <t xml:space="preserve">
 1. Hypothyroidism (e.g., Hashimoto's thyroiditis)
 2. Pituitary disease (e.g., adenomas, secondary hypothyroidism)
 3. Nutritional deficiencies (e.g., iodine, selenium)
 4. Medications (e.g., lithium)
 5. Chronic illness
Micronutrients
1. Iodine deficiency 
 2. Selenium deficiency 
 3. Zinc deficiency 
 4. Magnesium deficiency 
 5. Vitamin D deficiency</t>
  </si>
  <si>
    <t xml:space="preserve">
 1. Graves' disease
 2. Subclinical hyperthyroidism
 3. Thyroid cancer
 4. Pregnancy (transient increase)
 5. Chronic thyroiditis
Micronutrients
1. Autoimmune thyroid disease (Hashimoto's thyroiditis) 
 2. Excessive iodine intake 
 3. Vitamin D excess 
 4. Selenium excess 
 5. Zinc excess</t>
  </si>
  <si>
    <t xml:space="preserve">
 1. Hashimoto's thyroiditis
 2. Postpartum thyroiditis
 3. Idiopathic hypothyroidism
 4. Iodine deficiency
 5. Selenium deficiency
Micronutrients
1. Iodine deficiency 
 2. Selenium deficiency 
 3. Zinc deficiency 
 4. Vitamin D deficiency 
 5. Magnesium deficiency</t>
  </si>
  <si>
    <t xml:space="preserve">
 1. Hashimoto's thyroiditis
 2. Postpartum thyroiditis
 3. Iodine deficiency
 4. Thyroid cancer
 5. Autoimmune disease (e.g., lupus)
Micronutrients
1. Iodine deficiency 
 2. Selenium deficiency 
 3. Vitamin D deficiency 
 4. Magnesium deficiency 
 5. Zinc deficiency</t>
  </si>
  <si>
    <t xml:space="preserve">
 1. Graves' disease (primary cause of hyperthyroidism)
 2. Thyroid cancer
 3. Pituitary tumors
 4. Severe stress or trauma
 5. Pregnancy
Micronutrients
1. Graves' disease (Hyperthyroidism) 
 2. Excessive iodine intake 
 3. Excessive selenium 
 4. Vitamin D excess 
 5. Zinc excess</t>
  </si>
  <si>
    <t xml:space="preserve">
 1. Hypothyroidism
 2. Postpartum thyroiditis
 3. Chronic autoimmune thyroiditis
 4. Nutritional deficiencies (e.g., iodine)
 5. Aging
Micronutrients
1. Iodine deficiency 
 2. Magnesium deficiency 
 3. Selenium deficiency 
 4. Zinc deficiency 
 5. Vitamin D deficiency</t>
  </si>
  <si>
    <t xml:space="preserve">
 1. Hemochromatosis (iron overload)
 2. Liver disease (e.g., cirrhosis, hepatitis)
 3. Chronic inflammation (e.g., rheumatoid arthritis)
 4. Excessive iron supplementation
 5. Multiple blood transfusions
Micronutrients
1. Iron overload (e.g., hemochromatosis) 
 2. Excessive supplementation 
 3. Chronic inflammation 
 4. Vitamin B12 excess 
 5. Folate excess</t>
  </si>
  <si>
    <t xml:space="preserve">
 1. Iron deficiency anemia
 2. Chronic blood loss (e.g., gastrointestinal bleeding, heavy menstruation)
 3. Poor dietary intake of iron (e.g., vegetarian/vegan diet)
 4. Malabsorption syndromes (e.g., celiac disease, Crohn's disease)
 5. Pregnancy (increased demand)
Micronutrients
1. Iron deficiency 
 2. Vitamin C deficiency 
 3. Folate deficiency 
 4. Vitamin B12 deficiency 
 5. Copper deficiency</t>
  </si>
  <si>
    <t xml:space="preserve">
 1. Increased muscle mass (e.g., bodybuilders)
 2. Dehydration (concentrated urine)
 3. High protein diet (increased creatinine excretion)
 4. Kidney disease (e.g., glomerulonephritis, diabetic nephropathy)
 5. Use of creatine supplements
Micronutrients
1. Kidney disease 
 2. Dehydration 
 3. Excessive protein intake 
 4. Muscle damage 
 5. High creatine intake</t>
  </si>
  <si>
    <t xml:space="preserve">
 1. Chronic kidney disease (decreased glomerular filtration rate)
 2. Severe muscle wasting (e.g., cachexia, muscle dystrophy)
 3. Dehydration (low urine output)
 4. Malnutrition or protein deficiency
 5. Acute kidney injury (e.g., post-surgery or trauma)
Micronutrients
1. Creatine deficiency 
 2. Protein deficiency 
 3. Vitamin B6 deficiency 
 4. Vitamin D deficiency 
 5. Magnesium deficiency</t>
  </si>
  <si>
    <t xml:space="preserve">Lead </t>
  </si>
  <si>
    <t xml:space="preserve">Mercury </t>
  </si>
  <si>
    <t>Lymphocytes - Relative - Relative</t>
  </si>
  <si>
    <t>Lymphocytes - Relative - Absolute</t>
  </si>
  <si>
    <t>Bilirubin - Indirect</t>
  </si>
  <si>
    <t>Anti TPO</t>
  </si>
  <si>
    <t>LD-Dimer</t>
  </si>
  <si>
    <t>Parathyroid Hormone (PTH)</t>
  </si>
  <si>
    <t>Vitamin E</t>
  </si>
  <si>
    <t>Carnitine</t>
  </si>
  <si>
    <t>Anti TgAb</t>
  </si>
  <si>
    <t>Vitamin B6</t>
  </si>
  <si>
    <t>Zinc</t>
  </si>
  <si>
    <t>Insulin</t>
  </si>
  <si>
    <t>Folate</t>
  </si>
  <si>
    <t>Copper</t>
  </si>
  <si>
    <t>Vitamin C</t>
  </si>
  <si>
    <t>Vitamin A</t>
  </si>
  <si>
    <t>Leptin</t>
  </si>
  <si>
    <t>DHEA-S</t>
  </si>
  <si>
    <t>GGU</t>
  </si>
  <si>
    <t>Parameter</t>
  </si>
  <si>
    <t>Men's Optimal Range</t>
  </si>
  <si>
    <t>Women's Optimal Range</t>
  </si>
  <si>
    <t>Units</t>
  </si>
  <si>
    <t>Notes</t>
  </si>
  <si>
    <t>Systolic Blood Pressure</t>
  </si>
  <si>
    <t>100-120</t>
  </si>
  <si>
    <t>mmHg</t>
  </si>
  <si>
    <t>Diastolic Blood Pressure</t>
  </si>
  <si>
    <t>70-80</t>
  </si>
  <si>
    <t>Hemoglobin</t>
  </si>
  <si>
    <t>15-16</t>
  </si>
  <si>
    <t>13-14</t>
  </si>
  <si>
    <t>Lowest risk of all-cause, CVD &amp; cancer mortality</t>
  </si>
  <si>
    <t>RBC (Red Blood Cells)</t>
  </si>
  <si>
    <t>4.75-5.15</t>
  </si>
  <si>
    <t>4.35-5</t>
  </si>
  <si>
    <t>10^6/µL</t>
  </si>
  <si>
    <t>42-49</t>
  </si>
  <si>
    <t>35-40</t>
  </si>
  <si>
    <t>Dialysis patients: 30-36; Heart failure patients: &lt;38</t>
  </si>
  <si>
    <t>Reticulocyte Count</t>
  </si>
  <si>
    <t>0.5-2.5</t>
  </si>
  <si>
    <t>Reticulocyte Production Index</t>
  </si>
  <si>
    <t>Only relevant if anemia is present</t>
  </si>
  <si>
    <t>MCV (Mean Corpuscular Volume)</t>
  </si>
  <si>
    <t>82-87</t>
  </si>
  <si>
    <t>fL</t>
  </si>
  <si>
    <t>Men &gt;75: Some studies show &gt;95 protective for all-cause mortality</t>
  </si>
  <si>
    <t>MCH (Mean Corpuscular Hemoglobin)</t>
  </si>
  <si>
    <t>27-32</t>
  </si>
  <si>
    <t>pg</t>
  </si>
  <si>
    <t>MCHC (Mean Corpuscular Hemoglobin Concentration)</t>
  </si>
  <si>
    <t>34-36</t>
  </si>
  <si>
    <t>Heart attack patients: &gt;35.4 associated with lowest mortality</t>
  </si>
  <si>
    <t>RDW-CV</t>
  </si>
  <si>
    <t>12-13</t>
  </si>
  <si>
    <t>RDW-SD</t>
  </si>
  <si>
    <t>39-42</t>
  </si>
  <si>
    <t>Platelet Count</t>
  </si>
  <si>
    <t>200-270</t>
  </si>
  <si>
    <t>x10^9/L</t>
  </si>
  <si>
    <t>PDW (Platelet Distribution Width)</t>
  </si>
  <si>
    <t>8.3-56.6</t>
  </si>
  <si>
    <t>MPV (Mean Platelet Volume)</t>
  </si>
  <si>
    <t>7.3-8.2</t>
  </si>
  <si>
    <t>P-LCR (Platelet-Large Cell Ratio)</t>
  </si>
  <si>
    <t>25-35</t>
  </si>
  <si>
    <t>PLR (Platelet-Lymphocyte Ratio)</t>
  </si>
  <si>
    <t>PCT (Plateletcrit)</t>
  </si>
  <si>
    <t>0.18-0.25</t>
  </si>
  <si>
    <t>Immature Granulocyte %</t>
  </si>
  <si>
    <t>0-0.5</t>
  </si>
  <si>
    <t>67-140</t>
  </si>
  <si>
    <t>µg/dL</t>
  </si>
  <si>
    <t>Total Iron Binding Capacity (TIBC)</t>
  </si>
  <si>
    <t>250-425</t>
  </si>
  <si>
    <t>25.5-33.5</t>
  </si>
  <si>
    <t>80-100</t>
  </si>
  <si>
    <t>Total WBC Count</t>
  </si>
  <si>
    <t>4-6.5</t>
  </si>
  <si>
    <t>Absolute Neutrophil Count</t>
  </si>
  <si>
    <t>1500-3000</t>
  </si>
  <si>
    <t>Absolute Lymphocyte Count</t>
  </si>
  <si>
    <t>1500-3700</t>
  </si>
  <si>
    <t>Absolute Lymphocyte Count (diff)</t>
  </si>
  <si>
    <t>1.5-3.7</t>
  </si>
  <si>
    <t>Neutrophils/Lymphocyte Ratio</t>
  </si>
  <si>
    <t>0.8-1.8</t>
  </si>
  <si>
    <t>Absolute Monocytes Count</t>
  </si>
  <si>
    <t>100-350</t>
  </si>
  <si>
    <t>Absolute Eosinophil Count</t>
  </si>
  <si>
    <t>0-500</t>
  </si>
  <si>
    <t>Absolute Basophil Count</t>
  </si>
  <si>
    <t>0-0.2</t>
  </si>
  <si>
    <t>Total IgE</t>
  </si>
  <si>
    <t>10-60</t>
  </si>
  <si>
    <t>&lt;0.5</t>
  </si>
  <si>
    <t>&lt;1</t>
  </si>
  <si>
    <t>mg/L</t>
  </si>
  <si>
    <t>Erythrocyte Sedimentation Rate (ESR)</t>
  </si>
  <si>
    <t>&lt;5</t>
  </si>
  <si>
    <t>&lt;10</t>
  </si>
  <si>
    <t>Lactate Dehydrogenase (LDH)</t>
  </si>
  <si>
    <t>115-200</t>
  </si>
  <si>
    <t>Bicarbonate</t>
  </si>
  <si>
    <t>26-31</t>
  </si>
  <si>
    <t>mEq/L</t>
  </si>
  <si>
    <t>Blood pH</t>
  </si>
  <si>
    <t>6.8-8</t>
  </si>
  <si>
    <t>Fasting Blood Glucose (FBS)</t>
  </si>
  <si>
    <t>80-95</t>
  </si>
  <si>
    <t>Insulin (Fasting)</t>
  </si>
  <si>
    <t>µIU/mL</t>
  </si>
  <si>
    <t>0.75-1.25</t>
  </si>
  <si>
    <t>5.0-5.4</t>
  </si>
  <si>
    <t>Cholesterol</t>
  </si>
  <si>
    <t>120-240 (&lt;60yrs); 170-270(&gt;60yrs)</t>
  </si>
  <si>
    <t>200-300 (&gt;60yrs)</t>
  </si>
  <si>
    <t>Ranges vary with age and sex</t>
  </si>
  <si>
    <t>LDL Cholesterol</t>
  </si>
  <si>
    <t>60-100</t>
  </si>
  <si>
    <t>HDL Cholesterol</t>
  </si>
  <si>
    <t>40-70</t>
  </si>
  <si>
    <t>50-90</t>
  </si>
  <si>
    <t>Apolipoprotein A1</t>
  </si>
  <si>
    <t>128-190</t>
  </si>
  <si>
    <t>Apolipoprotein B</t>
  </si>
  <si>
    <t>40-90</t>
  </si>
  <si>
    <t>0-30</t>
  </si>
  <si>
    <t>Omega-3 Index</t>
  </si>
  <si>
    <t>0.5-0.8</t>
  </si>
  <si>
    <t>For lowest mortality risk</t>
  </si>
  <si>
    <t>ALT (Alanine Aminotransferase)</t>
  </si>
  <si>
    <t>17-30</t>
  </si>
  <si>
    <t>AST (Aspartate Aminotransferase)</t>
  </si>
  <si>
    <t>60-80</t>
  </si>
  <si>
    <t>Problematic in this range if CRP &gt;5</t>
  </si>
  <si>
    <t>6.5-7.8</t>
  </si>
  <si>
    <t>4.4-5.5</t>
  </si>
  <si>
    <t>Albumin/Globulin Ratio</t>
  </si>
  <si>
    <t>1.5-2.5</t>
  </si>
  <si>
    <t>Gamma-GT</t>
  </si>
  <si>
    <t>0-15</t>
  </si>
  <si>
    <t>Creatinine</t>
  </si>
  <si>
    <t>0.7-1.1</t>
  </si>
  <si>
    <t>Cystatin C</t>
  </si>
  <si>
    <t>0.5-0.72</t>
  </si>
  <si>
    <t>Blood Urea Nitrogen (BUN)</t>
  </si>
  <si>
    <t>13-22</t>
  </si>
  <si>
    <t>eGFR (Estimated Glomerular Filtration Rate)</t>
  </si>
  <si>
    <t>≥90</t>
  </si>
  <si>
    <t>mL/min/1.73m²</t>
  </si>
  <si>
    <t>Microalbumin/Creatinine Ratio</t>
  </si>
  <si>
    <t>&lt;30</t>
  </si>
  <si>
    <t>mg/g</t>
  </si>
  <si>
    <t>4.3-6.5</t>
  </si>
  <si>
    <t>400-674</t>
  </si>
  <si>
    <t>13-22.5</t>
  </si>
  <si>
    <t>Vitamin D (25-OH)</t>
  </si>
  <si>
    <t>40-60</t>
  </si>
  <si>
    <t>95-120</t>
  </si>
  <si>
    <t>1.8-2.3</t>
  </si>
  <si>
    <t>Keep under 2.3 for stroke prevention</t>
  </si>
  <si>
    <t>70-105</t>
  </si>
  <si>
    <t>136-142</t>
  </si>
  <si>
    <t>4-4.75</t>
  </si>
  <si>
    <t>103-106</t>
  </si>
  <si>
    <t>Lowest mortality risk</t>
  </si>
  <si>
    <t>9.2-10</t>
  </si>
  <si>
    <t>Lowest mortality range</t>
  </si>
  <si>
    <t>Molybdenum</t>
  </si>
  <si>
    <t>0.5-1.17</t>
  </si>
  <si>
    <t>Manganese</t>
  </si>
  <si>
    <t>4.2-16.5</t>
  </si>
  <si>
    <t>Strontium</t>
  </si>
  <si>
    <t>15-45</t>
  </si>
  <si>
    <t>0.1-0.5</t>
  </si>
  <si>
    <t>Vitamin A (Retinol)</t>
  </si>
  <si>
    <t>577-781</t>
  </si>
  <si>
    <t>Vitamin E (Tocopherol)</t>
  </si>
  <si>
    <t>13000-14000</t>
  </si>
  <si>
    <t>Optimal for greatest benefits, lowest death risk from CVD, cancer and other causes</t>
  </si>
  <si>
    <t>Amylase</t>
  </si>
  <si>
    <t>30-115</t>
  </si>
  <si>
    <t>Lipase</t>
  </si>
  <si>
    <t>7-60</t>
  </si>
  <si>
    <t>For lowest risk of mortality, ICU admission, ventilation after hospitalization with infection</t>
  </si>
  <si>
    <t>INR (International Normalized Ratio)</t>
  </si>
  <si>
    <t>0.8-1.2</t>
  </si>
  <si>
    <t>200-300</t>
  </si>
  <si>
    <t>300-360</t>
  </si>
  <si>
    <t>Testosterone (Total)</t>
  </si>
  <si>
    <t>575-900</t>
  </si>
  <si>
    <t>2-30</t>
  </si>
  <si>
    <t>ng/dL</t>
  </si>
  <si>
    <t>Women's range varies greatly depending on age and menstrual cycle phase</t>
  </si>
  <si>
    <t>Free Testosterone</t>
  </si>
  <si>
    <t>9.3-26.5</t>
  </si>
  <si>
    <t>&lt;4.2</t>
  </si>
  <si>
    <t>DHEA-S (Dehydroepiandrosterone Sulfate)</t>
  </si>
  <si>
    <t>350-464 (Men); 275-400 (Women)</t>
  </si>
  <si>
    <t>275-400</t>
  </si>
  <si>
    <t>TSH (Thyroid-Stimulating Hormone)</t>
  </si>
  <si>
    <t>Free T3 (Triiodothyronine)</t>
  </si>
  <si>
    <t>3.25-4.25</t>
  </si>
  <si>
    <t>Free T4 (Thyroxine)</t>
  </si>
  <si>
    <t>1.2-1.8</t>
  </si>
  <si>
    <t>120-150</t>
  </si>
  <si>
    <t>Anti-microsomal antibody (AMA)</t>
  </si>
  <si>
    <t>&lt;2 IU/ml</t>
  </si>
  <si>
    <t>IU/ml</t>
  </si>
  <si>
    <t>Anti-thyroglobulin antibody (ATG)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</si>
</sst>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17">
    <font>
      <sz val="10.0"/>
      <color rgb="FF000000"/>
      <name val="Arial"/>
      <scheme val="minor"/>
    </font>
    <font>
      <b/>
      <sz val="9.0"/>
      <color rgb="FF000000"/>
      <name val="Inherit"/>
    </font>
    <font>
      <color theme="1"/>
      <name val="Arial"/>
    </font>
    <font>
      <b/>
      <sz val="9.0"/>
      <color theme="1"/>
      <name val="Arial"/>
    </font>
    <font>
      <b/>
      <sz val="11.0"/>
      <color theme="1"/>
      <name val="Calibri"/>
    </font>
    <font>
      <sz val="9.0"/>
      <color theme="1"/>
      <name val="Inherit"/>
    </font>
    <font>
      <sz val="9.0"/>
      <color rgb="FF000000"/>
      <name val="Inherit"/>
    </font>
    <font>
      <sz val="9.0"/>
      <color theme="1"/>
      <name val="Arial"/>
    </font>
    <font>
      <sz val="9.0"/>
      <color rgb="FF000000"/>
      <name val="Arial"/>
    </font>
    <font>
      <color theme="1"/>
      <name val="Arial"/>
      <scheme val="minor"/>
    </font>
    <font>
      <color rgb="FF000000"/>
      <name val="Arial"/>
    </font>
    <font>
      <color rgb="FF222222"/>
      <name val="Arial"/>
    </font>
    <font>
      <b/>
      <sz val="12.0"/>
      <color rgb="FF202124"/>
      <name val="Inherit"/>
    </font>
    <font>
      <sz val="12.0"/>
      <color rgb="FF202124"/>
      <name val="Inherit"/>
    </font>
    <font>
      <sz val="12.0"/>
      <color rgb="FF202124"/>
      <name val="Arial"/>
    </font>
    <font>
      <b/>
      <color theme="1"/>
      <name val="Arial"/>
    </font>
    <font>
      <sz val="12.0"/>
      <color rgb="FF202124"/>
      <name val="Roboto"/>
    </font>
  </fonts>
  <fills count="4">
    <fill>
      <patternFill patternType="none"/>
    </fill>
    <fill>
      <patternFill patternType="lightGray"/>
    </fill>
    <fill>
      <patternFill patternType="solid">
        <fgColor rgb="FFFFFFFF"/>
        <bgColor rgb="FFFFFFFF"/>
      </patternFill>
    </fill>
    <fill>
      <patternFill patternType="solid">
        <fgColor rgb="FFE9EEF6"/>
        <bgColor rgb="FFE9EEF6"/>
      </patternFill>
    </fill>
  </fills>
  <borders count="3">
    <border/>
    <border>
      <left style="medium">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Font="1"/>
    <xf borderId="0" fillId="0" fontId="3" numFmtId="0" xfId="0" applyAlignment="1" applyFont="1">
      <alignment horizontal="center" vertical="bottom"/>
    </xf>
    <xf borderId="1" fillId="0" fontId="4" numFmtId="0" xfId="0" applyAlignment="1" applyBorder="1" applyFont="1">
      <alignment vertical="top"/>
    </xf>
    <xf borderId="0" fillId="0" fontId="5" numFmtId="0" xfId="0" applyAlignment="1" applyFont="1">
      <alignment horizontal="right" shrinkToFit="0" vertical="top" wrapText="1"/>
    </xf>
    <xf borderId="0" fillId="0" fontId="6" numFmtId="0" xfId="0" applyAlignment="1" applyFont="1">
      <alignment shrinkToFit="0" vertical="top" wrapText="1"/>
    </xf>
    <xf borderId="0" fillId="0" fontId="2" numFmtId="0" xfId="0" applyAlignment="1" applyFont="1">
      <alignment horizontal="right" vertical="bottom"/>
    </xf>
    <xf borderId="0" fillId="0" fontId="7" numFmtId="0" xfId="0" applyAlignment="1" applyFont="1">
      <alignment horizontal="right" shrinkToFit="0" vertical="top" wrapText="1"/>
    </xf>
    <xf borderId="0" fillId="0" fontId="8" numFmtId="0" xfId="0" applyAlignment="1" applyFont="1">
      <alignment shrinkToFit="0" vertical="top" wrapText="1"/>
    </xf>
    <xf borderId="0" fillId="0" fontId="9" numFmtId="0" xfId="0" applyAlignment="1" applyFont="1">
      <alignment readingOrder="0"/>
    </xf>
    <xf borderId="0" fillId="0" fontId="2" numFmtId="0" xfId="0" applyAlignment="1" applyFont="1">
      <alignment vertical="top"/>
    </xf>
    <xf borderId="0" fillId="2" fontId="10" numFmtId="0" xfId="0" applyAlignment="1" applyFill="1" applyFont="1">
      <alignment horizontal="left"/>
    </xf>
    <xf borderId="0" fillId="0" fontId="2" numFmtId="0" xfId="0" applyAlignment="1" applyFont="1">
      <alignment vertical="bottom"/>
    </xf>
    <xf borderId="0" fillId="2" fontId="11" numFmtId="0" xfId="0" applyFont="1"/>
    <xf borderId="0" fillId="0" fontId="12" numFmtId="0" xfId="0" applyAlignment="1" applyFont="1">
      <alignment horizontal="center"/>
    </xf>
    <xf borderId="0" fillId="0" fontId="12" numFmtId="0" xfId="0" applyAlignment="1" applyFont="1">
      <alignment horizontal="center" shrinkToFit="0" wrapText="1"/>
    </xf>
    <xf borderId="0" fillId="2" fontId="8" numFmtId="0" xfId="0" applyFont="1"/>
    <xf borderId="0" fillId="0" fontId="13" numFmtId="0" xfId="0" applyAlignment="1" applyFont="1">
      <alignment shrinkToFit="0" vertical="top" wrapText="1"/>
    </xf>
    <xf borderId="0" fillId="0" fontId="14" numFmtId="0" xfId="0" applyAlignment="1" applyFont="1">
      <alignment shrinkToFit="0" vertical="top" wrapText="1"/>
    </xf>
    <xf borderId="0" fillId="0" fontId="2" numFmtId="0" xfId="0" applyAlignment="1" applyFont="1">
      <alignment shrinkToFit="0" wrapText="1"/>
    </xf>
    <xf borderId="0" fillId="0" fontId="15" numFmtId="0" xfId="0" applyAlignment="1" applyFont="1">
      <alignment horizontal="center" shrinkToFit="0" wrapText="1"/>
    </xf>
    <xf borderId="0" fillId="0" fontId="15" numFmtId="0" xfId="0" applyAlignment="1" applyFont="1">
      <alignment horizontal="center"/>
    </xf>
    <xf borderId="2" fillId="0" fontId="2" numFmtId="0" xfId="0" applyBorder="1" applyFont="1"/>
    <xf borderId="0" fillId="3" fontId="12" numFmtId="0" xfId="0" applyAlignment="1" applyFill="1" applyFont="1">
      <alignment horizontal="center"/>
    </xf>
    <xf borderId="0" fillId="3" fontId="13" numFmtId="0" xfId="0" applyAlignment="1" applyFont="1">
      <alignment shrinkToFit="0" vertical="top" wrapText="1"/>
    </xf>
    <xf borderId="0" fillId="3" fontId="13" numFmtId="164" xfId="0" applyAlignment="1" applyFont="1" applyNumberFormat="1">
      <alignment shrinkToFit="0" vertical="top" wrapText="1"/>
    </xf>
    <xf borderId="0" fillId="3" fontId="16"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6.xml"/><Relationship Id="rId3"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9.25"/>
    <col customWidth="1" min="7" max="7" width="19.5"/>
    <col customWidth="1" min="8" max="8" width="16.0"/>
    <col customWidth="1" min="9" max="9" width="14.88"/>
    <col customWidth="1" min="10" max="10" width="107.38"/>
  </cols>
  <sheetData>
    <row r="1" ht="15.75" customHeight="1">
      <c r="A1" s="1" t="s">
        <v>0</v>
      </c>
      <c r="B1" s="1" t="s">
        <v>1</v>
      </c>
      <c r="C1" s="1" t="s">
        <v>2</v>
      </c>
      <c r="D1" s="1" t="s">
        <v>3</v>
      </c>
      <c r="E1" s="1" t="s">
        <v>4</v>
      </c>
      <c r="F1" s="1" t="s">
        <v>5</v>
      </c>
      <c r="G1" s="2" t="s">
        <v>6</v>
      </c>
      <c r="H1" s="2" t="s">
        <v>7</v>
      </c>
      <c r="I1" s="2" t="s">
        <v>8</v>
      </c>
      <c r="J1" s="2" t="s">
        <v>9</v>
      </c>
      <c r="L1" s="2" t="s">
        <v>10</v>
      </c>
      <c r="M1" s="2" t="s">
        <v>11</v>
      </c>
      <c r="N1" s="2" t="s">
        <v>12</v>
      </c>
      <c r="O1" s="3" t="s">
        <v>13</v>
      </c>
      <c r="P1" s="3" t="s">
        <v>14</v>
      </c>
      <c r="Q1" s="3" t="s">
        <v>15</v>
      </c>
      <c r="R1" s="3" t="s">
        <v>16</v>
      </c>
    </row>
    <row r="2" ht="15.75" customHeight="1">
      <c r="A2" s="4" t="s">
        <v>17</v>
      </c>
      <c r="B2" s="5">
        <v>14.5</v>
      </c>
      <c r="C2" s="5">
        <v>16.0</v>
      </c>
      <c r="D2" s="5">
        <v>13.0</v>
      </c>
      <c r="E2" s="5">
        <v>14.5</v>
      </c>
      <c r="F2" s="6" t="s">
        <v>18</v>
      </c>
      <c r="G2" s="2" t="s">
        <v>19</v>
      </c>
      <c r="H2" s="2">
        <v>7.0</v>
      </c>
      <c r="I2" s="2">
        <v>24.0</v>
      </c>
      <c r="J2" s="2" t="s">
        <v>20</v>
      </c>
      <c r="K2" s="2" t="s">
        <v>21</v>
      </c>
      <c r="L2" s="2">
        <v>10.0</v>
      </c>
      <c r="M2" s="2">
        <f t="shared" ref="M2:M3" si="1">B2-(0.1*B2)</f>
        <v>13.05</v>
      </c>
      <c r="N2" s="2">
        <f t="shared" ref="N2:N3" si="2">C2+(0.1*C2)</f>
        <v>17.6</v>
      </c>
      <c r="O2" s="7">
        <v>13.5</v>
      </c>
      <c r="P2" s="7">
        <v>17.5</v>
      </c>
      <c r="Q2" s="7">
        <v>12.0</v>
      </c>
      <c r="R2" s="7">
        <v>16.0</v>
      </c>
    </row>
    <row r="3" ht="15.75" customHeight="1">
      <c r="A3" s="6" t="s">
        <v>22</v>
      </c>
      <c r="B3" s="5">
        <v>4.8</v>
      </c>
      <c r="C3" s="5">
        <v>5.5</v>
      </c>
      <c r="D3" s="5">
        <v>4.4</v>
      </c>
      <c r="E3" s="5">
        <v>4.8</v>
      </c>
      <c r="F3" s="6" t="s">
        <v>23</v>
      </c>
      <c r="G3" s="2" t="s">
        <v>19</v>
      </c>
      <c r="H3" s="2">
        <v>2.0</v>
      </c>
      <c r="I3" s="2">
        <v>8.0</v>
      </c>
      <c r="J3" s="2" t="s">
        <v>24</v>
      </c>
      <c r="K3" s="2" t="s">
        <v>21</v>
      </c>
      <c r="L3" s="2">
        <v>10.0</v>
      </c>
      <c r="M3" s="2">
        <f t="shared" si="1"/>
        <v>4.32</v>
      </c>
      <c r="N3" s="2">
        <f t="shared" si="2"/>
        <v>6.05</v>
      </c>
      <c r="O3" s="7">
        <v>4.3</v>
      </c>
      <c r="P3" s="7">
        <v>5.9</v>
      </c>
      <c r="Q3" s="7">
        <v>3.5</v>
      </c>
      <c r="R3" s="7">
        <v>5.5</v>
      </c>
    </row>
    <row r="4" ht="15.75" customHeight="1">
      <c r="A4" s="6" t="s">
        <v>25</v>
      </c>
      <c r="B4" s="5">
        <v>40.0</v>
      </c>
      <c r="C4" s="5">
        <v>49.0</v>
      </c>
      <c r="D4" s="5">
        <v>39.0</v>
      </c>
      <c r="E4" s="5">
        <v>45.0</v>
      </c>
      <c r="F4" s="6" t="s">
        <v>26</v>
      </c>
      <c r="G4" s="2" t="s">
        <v>19</v>
      </c>
      <c r="H4" s="2">
        <v>20.0</v>
      </c>
      <c r="I4" s="2">
        <v>74.0</v>
      </c>
      <c r="J4" s="2" t="s">
        <v>27</v>
      </c>
      <c r="K4" s="2" t="s">
        <v>28</v>
      </c>
      <c r="L4" s="2">
        <v>25.0</v>
      </c>
      <c r="M4" s="2">
        <f>B4-(0.25*B4)</f>
        <v>30</v>
      </c>
      <c r="N4" s="2">
        <f>C4+(0.25*C4)</f>
        <v>61.25</v>
      </c>
      <c r="O4" s="7">
        <v>41.0</v>
      </c>
      <c r="P4" s="7">
        <v>53.0</v>
      </c>
      <c r="Q4" s="7">
        <v>36.0</v>
      </c>
      <c r="R4" s="7">
        <v>46.0</v>
      </c>
    </row>
    <row r="5" ht="15.75" customHeight="1">
      <c r="A5" s="6" t="s">
        <v>29</v>
      </c>
      <c r="B5" s="5">
        <v>84.0</v>
      </c>
      <c r="C5" s="5">
        <v>92.0</v>
      </c>
      <c r="D5" s="5">
        <v>84.0</v>
      </c>
      <c r="E5" s="5">
        <v>92.0</v>
      </c>
      <c r="F5" s="6" t="s">
        <v>30</v>
      </c>
      <c r="G5" s="2" t="s">
        <v>19</v>
      </c>
      <c r="H5" s="2">
        <v>42.0</v>
      </c>
      <c r="I5" s="2">
        <v>138.0</v>
      </c>
      <c r="J5" s="2" t="s">
        <v>31</v>
      </c>
      <c r="K5" s="2" t="s">
        <v>28</v>
      </c>
      <c r="L5" s="2">
        <v>25.0</v>
      </c>
      <c r="M5" s="2">
        <f t="shared" ref="M5:M12" si="3">B5-(0.1*B5)</f>
        <v>75.6</v>
      </c>
      <c r="N5" s="2">
        <f t="shared" ref="N5:N12" si="4">C5+(0.1*C5)</f>
        <v>101.2</v>
      </c>
      <c r="O5" s="7">
        <v>80.0</v>
      </c>
      <c r="P5" s="7">
        <v>100.0</v>
      </c>
      <c r="Q5" s="7">
        <v>80.0</v>
      </c>
      <c r="R5" s="7">
        <v>100.0</v>
      </c>
    </row>
    <row r="6" ht="15.75" customHeight="1">
      <c r="A6" s="6" t="s">
        <v>32</v>
      </c>
      <c r="B6" s="5">
        <v>28.0</v>
      </c>
      <c r="C6" s="5">
        <v>32.0</v>
      </c>
      <c r="D6" s="5">
        <v>28.0</v>
      </c>
      <c r="E6" s="5">
        <v>32.0</v>
      </c>
      <c r="F6" s="6" t="s">
        <v>33</v>
      </c>
      <c r="G6" s="2" t="s">
        <v>19</v>
      </c>
      <c r="H6" s="2">
        <v>14.0</v>
      </c>
      <c r="I6" s="2">
        <v>48.0</v>
      </c>
      <c r="J6" s="2" t="s">
        <v>34</v>
      </c>
      <c r="K6" s="2" t="s">
        <v>28</v>
      </c>
      <c r="L6" s="2">
        <v>25.0</v>
      </c>
      <c r="M6" s="2">
        <f t="shared" si="3"/>
        <v>25.2</v>
      </c>
      <c r="N6" s="2">
        <f t="shared" si="4"/>
        <v>35.2</v>
      </c>
      <c r="O6" s="7">
        <v>27.0</v>
      </c>
      <c r="P6" s="7">
        <v>34.0</v>
      </c>
      <c r="Q6" s="7">
        <v>26.0</v>
      </c>
      <c r="R6" s="7">
        <v>34.0</v>
      </c>
    </row>
    <row r="7" ht="15.75" customHeight="1">
      <c r="A7" s="6" t="s">
        <v>35</v>
      </c>
      <c r="B7" s="5">
        <v>33.0</v>
      </c>
      <c r="C7" s="5">
        <v>35.0</v>
      </c>
      <c r="D7" s="5">
        <v>33.0</v>
      </c>
      <c r="E7" s="5">
        <v>35.0</v>
      </c>
      <c r="F7" s="6" t="s">
        <v>36</v>
      </c>
      <c r="G7" s="2" t="s">
        <v>19</v>
      </c>
      <c r="H7" s="2">
        <v>17.0</v>
      </c>
      <c r="I7" s="2">
        <v>53.0</v>
      </c>
      <c r="J7" s="2" t="s">
        <v>37</v>
      </c>
      <c r="K7" s="2" t="s">
        <v>28</v>
      </c>
      <c r="L7" s="2">
        <v>25.0</v>
      </c>
      <c r="M7" s="2">
        <f t="shared" si="3"/>
        <v>29.7</v>
      </c>
      <c r="N7" s="2">
        <f t="shared" si="4"/>
        <v>38.5</v>
      </c>
      <c r="O7" s="7">
        <v>31.0</v>
      </c>
      <c r="P7" s="7">
        <v>36.0</v>
      </c>
      <c r="Q7" s="7">
        <v>31.0</v>
      </c>
      <c r="R7" s="7">
        <v>36.0</v>
      </c>
    </row>
    <row r="8" ht="15.75" customHeight="1">
      <c r="A8" s="6" t="s">
        <v>38</v>
      </c>
      <c r="B8" s="8">
        <v>12.0</v>
      </c>
      <c r="C8" s="5">
        <v>13.0</v>
      </c>
      <c r="D8" s="8">
        <v>12.0</v>
      </c>
      <c r="E8" s="5">
        <v>13.0</v>
      </c>
      <c r="F8" s="6" t="s">
        <v>26</v>
      </c>
      <c r="G8" s="2" t="s">
        <v>19</v>
      </c>
      <c r="H8" s="2">
        <v>0.0</v>
      </c>
      <c r="I8" s="2">
        <v>20.0</v>
      </c>
      <c r="J8" s="2" t="s">
        <v>39</v>
      </c>
      <c r="K8" s="2" t="s">
        <v>28</v>
      </c>
      <c r="L8" s="2">
        <v>25.0</v>
      </c>
      <c r="M8" s="2">
        <f t="shared" si="3"/>
        <v>10.8</v>
      </c>
      <c r="N8" s="2">
        <f t="shared" si="4"/>
        <v>14.3</v>
      </c>
      <c r="O8" s="7">
        <v>11.5</v>
      </c>
      <c r="P8" s="7">
        <v>14.5</v>
      </c>
      <c r="Q8" s="7">
        <v>11.5</v>
      </c>
      <c r="R8" s="7">
        <v>14.5</v>
      </c>
    </row>
    <row r="9" ht="15.75" customHeight="1">
      <c r="A9" s="6" t="s">
        <v>40</v>
      </c>
      <c r="B9" s="5">
        <v>225.0</v>
      </c>
      <c r="C9" s="5">
        <v>275.0</v>
      </c>
      <c r="D9" s="5">
        <v>150.0</v>
      </c>
      <c r="E9" s="5">
        <v>385.0</v>
      </c>
      <c r="F9" s="9" t="s">
        <v>41</v>
      </c>
      <c r="G9" s="2" t="s">
        <v>19</v>
      </c>
      <c r="H9" s="2">
        <v>113.0</v>
      </c>
      <c r="I9" s="2">
        <v>413.0</v>
      </c>
      <c r="J9" s="2" t="s">
        <v>42</v>
      </c>
      <c r="K9" s="2" t="s">
        <v>21</v>
      </c>
      <c r="L9" s="2">
        <v>10.0</v>
      </c>
      <c r="M9" s="2">
        <f t="shared" si="3"/>
        <v>202.5</v>
      </c>
      <c r="N9" s="2">
        <f t="shared" si="4"/>
        <v>302.5</v>
      </c>
      <c r="O9" s="7">
        <v>150.0</v>
      </c>
      <c r="P9" s="7">
        <v>450.0</v>
      </c>
      <c r="Q9" s="7">
        <v>150.0</v>
      </c>
      <c r="R9" s="7">
        <v>450.0</v>
      </c>
    </row>
    <row r="10" ht="15.75" customHeight="1">
      <c r="A10" s="6" t="s">
        <v>43</v>
      </c>
      <c r="B10" s="5">
        <v>9.1</v>
      </c>
      <c r="C10" s="5">
        <v>12.0</v>
      </c>
      <c r="D10" s="5">
        <v>9.1</v>
      </c>
      <c r="E10" s="5">
        <v>12.0</v>
      </c>
      <c r="F10" s="6" t="s">
        <v>44</v>
      </c>
      <c r="G10" s="2" t="s">
        <v>45</v>
      </c>
      <c r="H10" s="2">
        <v>5.0</v>
      </c>
      <c r="I10" s="2">
        <v>18.0</v>
      </c>
      <c r="J10" s="2" t="s">
        <v>46</v>
      </c>
      <c r="K10" s="2" t="s">
        <v>21</v>
      </c>
      <c r="L10" s="2">
        <v>10.0</v>
      </c>
      <c r="M10" s="2">
        <f t="shared" si="3"/>
        <v>8.19</v>
      </c>
      <c r="N10" s="2">
        <f t="shared" si="4"/>
        <v>13.2</v>
      </c>
      <c r="O10" s="7">
        <v>10.0</v>
      </c>
      <c r="P10" s="7">
        <v>13.0</v>
      </c>
      <c r="Q10" s="7">
        <v>10.0</v>
      </c>
      <c r="R10" s="7">
        <v>13.0</v>
      </c>
    </row>
    <row r="11" ht="15.75" customHeight="1">
      <c r="A11" s="6" t="s">
        <v>47</v>
      </c>
      <c r="B11" s="5">
        <v>24.0</v>
      </c>
      <c r="C11" s="5">
        <v>33.0</v>
      </c>
      <c r="D11" s="5">
        <v>24.0</v>
      </c>
      <c r="E11" s="5">
        <v>33.0</v>
      </c>
      <c r="F11" s="6" t="s">
        <v>48</v>
      </c>
      <c r="G11" s="2" t="s">
        <v>45</v>
      </c>
      <c r="H11" s="2">
        <v>12.0</v>
      </c>
      <c r="I11" s="2">
        <v>50.0</v>
      </c>
      <c r="J11" s="2" t="s">
        <v>49</v>
      </c>
      <c r="K11" s="2" t="s">
        <v>21</v>
      </c>
      <c r="L11" s="2">
        <v>10.0</v>
      </c>
      <c r="M11" s="2">
        <f t="shared" si="3"/>
        <v>21.6</v>
      </c>
      <c r="N11" s="2">
        <f t="shared" si="4"/>
        <v>36.3</v>
      </c>
      <c r="O11" s="7">
        <v>25.0</v>
      </c>
      <c r="P11" s="7">
        <v>35.0</v>
      </c>
      <c r="Q11" s="7">
        <v>25.0</v>
      </c>
      <c r="R11" s="7">
        <v>35.0</v>
      </c>
    </row>
    <row r="12" ht="15.75" customHeight="1">
      <c r="A12" s="9" t="s">
        <v>50</v>
      </c>
      <c r="B12" s="5">
        <v>175.0</v>
      </c>
      <c r="C12" s="5">
        <v>425.0</v>
      </c>
      <c r="D12" s="5">
        <v>175.0</v>
      </c>
      <c r="E12" s="5">
        <v>425.0</v>
      </c>
      <c r="F12" s="6" t="s">
        <v>51</v>
      </c>
      <c r="G12" s="2" t="s">
        <v>45</v>
      </c>
      <c r="H12" s="2">
        <v>88.0</v>
      </c>
      <c r="I12" s="2">
        <v>638.0</v>
      </c>
      <c r="J12" s="2" t="s">
        <v>52</v>
      </c>
      <c r="K12" s="2" t="s">
        <v>21</v>
      </c>
      <c r="L12" s="2">
        <v>10.0</v>
      </c>
      <c r="M12" s="2">
        <f t="shared" si="3"/>
        <v>157.5</v>
      </c>
      <c r="N12" s="2">
        <f t="shared" si="4"/>
        <v>467.5</v>
      </c>
      <c r="O12" s="7">
        <v>200.0</v>
      </c>
      <c r="P12" s="7">
        <v>400.0</v>
      </c>
      <c r="Q12" s="7">
        <v>200.0</v>
      </c>
      <c r="R12" s="7">
        <v>400.0</v>
      </c>
    </row>
    <row r="13" ht="15.75" customHeight="1">
      <c r="A13" s="6" t="s">
        <v>53</v>
      </c>
      <c r="B13" s="5">
        <v>82.0</v>
      </c>
      <c r="C13" s="5">
        <v>88.0</v>
      </c>
      <c r="D13" s="5">
        <v>82.0</v>
      </c>
      <c r="E13" s="5">
        <v>88.0</v>
      </c>
      <c r="F13" s="6" t="s">
        <v>51</v>
      </c>
      <c r="G13" s="2" t="s">
        <v>54</v>
      </c>
      <c r="H13" s="2">
        <v>41.0</v>
      </c>
      <c r="I13" s="2">
        <v>132.0</v>
      </c>
      <c r="J13" s="2" t="s">
        <v>55</v>
      </c>
      <c r="K13" s="2" t="s">
        <v>21</v>
      </c>
      <c r="L13" s="2">
        <v>15.0</v>
      </c>
      <c r="M13" s="2">
        <f>B13-(0.15*B13)</f>
        <v>69.7</v>
      </c>
      <c r="N13" s="2">
        <f>C13+(0.15*C13)</f>
        <v>101.2</v>
      </c>
      <c r="O13" s="7">
        <v>70.0</v>
      </c>
      <c r="P13" s="7">
        <v>99.0</v>
      </c>
      <c r="Q13" s="7">
        <v>70.0</v>
      </c>
      <c r="R13" s="7">
        <v>99.0</v>
      </c>
    </row>
    <row r="14" ht="15.75" customHeight="1">
      <c r="A14" s="6" t="s">
        <v>56</v>
      </c>
      <c r="B14" s="5">
        <v>0.0</v>
      </c>
      <c r="C14" s="5">
        <v>120.0</v>
      </c>
      <c r="D14" s="5">
        <v>0.0</v>
      </c>
      <c r="E14" s="5">
        <v>120.0</v>
      </c>
      <c r="F14" s="6" t="s">
        <v>51</v>
      </c>
      <c r="G14" s="2" t="s">
        <v>54</v>
      </c>
      <c r="H14" s="2">
        <v>0.0</v>
      </c>
      <c r="I14" s="2">
        <v>180.0</v>
      </c>
      <c r="J14" s="2" t="s">
        <v>57</v>
      </c>
      <c r="K14" s="2" t="s">
        <v>28</v>
      </c>
      <c r="L14" s="2">
        <v>20.0</v>
      </c>
      <c r="M14" s="2">
        <f t="shared" ref="M14:M15" si="5">B14-(0.1*B14)</f>
        <v>0</v>
      </c>
      <c r="N14" s="2">
        <f>C14+(0.1*C14)</f>
        <v>132</v>
      </c>
      <c r="O14" s="7">
        <v>70.0</v>
      </c>
      <c r="P14" s="7">
        <v>140.0</v>
      </c>
      <c r="Q14" s="7">
        <v>70.0</v>
      </c>
      <c r="R14" s="7">
        <v>140.0</v>
      </c>
    </row>
    <row r="15" ht="15.75" customHeight="1">
      <c r="A15" s="6" t="s">
        <v>58</v>
      </c>
      <c r="B15" s="5">
        <v>5.0</v>
      </c>
      <c r="C15" s="5">
        <v>5.3</v>
      </c>
      <c r="D15" s="5">
        <v>5.0</v>
      </c>
      <c r="E15" s="5">
        <v>5.3</v>
      </c>
      <c r="F15" s="6" t="s">
        <v>26</v>
      </c>
      <c r="G15" s="2" t="s">
        <v>54</v>
      </c>
      <c r="H15" s="2">
        <v>3.0</v>
      </c>
      <c r="I15" s="2">
        <v>8.0</v>
      </c>
      <c r="J15" s="2" t="s">
        <v>59</v>
      </c>
      <c r="K15" s="2" t="s">
        <v>21</v>
      </c>
      <c r="L15" s="2">
        <v>7.0</v>
      </c>
      <c r="M15" s="2">
        <f t="shared" si="5"/>
        <v>4.5</v>
      </c>
      <c r="N15" s="2">
        <f>C15+(0.07*C15)</f>
        <v>5.671</v>
      </c>
      <c r="O15" s="7">
        <v>4.0</v>
      </c>
      <c r="P15" s="7">
        <v>5.6</v>
      </c>
      <c r="Q15" s="7">
        <v>4.0</v>
      </c>
      <c r="R15" s="7">
        <v>5.6</v>
      </c>
    </row>
    <row r="16" ht="15.75" customHeight="1">
      <c r="A16" s="6" t="s">
        <v>60</v>
      </c>
      <c r="B16" s="5">
        <v>1.1</v>
      </c>
      <c r="C16" s="5">
        <v>2.1</v>
      </c>
      <c r="D16" s="5">
        <v>1.1</v>
      </c>
      <c r="E16" s="5">
        <v>2.1</v>
      </c>
      <c r="F16" s="6" t="s">
        <v>61</v>
      </c>
      <c r="G16" s="2" t="s">
        <v>54</v>
      </c>
      <c r="H16" s="2">
        <v>1.0</v>
      </c>
      <c r="I16" s="2">
        <v>3.0</v>
      </c>
      <c r="J16" s="2" t="s">
        <v>62</v>
      </c>
      <c r="K16" s="2" t="s">
        <v>28</v>
      </c>
      <c r="L16" s="2">
        <v>20.0</v>
      </c>
      <c r="M16" s="2">
        <f>B16-(0.25*B16)</f>
        <v>0.825</v>
      </c>
      <c r="N16" s="2">
        <f t="shared" ref="N16:N22" si="6">C16+(0.1*C16)</f>
        <v>2.31</v>
      </c>
      <c r="O16" s="7">
        <v>0.5</v>
      </c>
      <c r="P16" s="7">
        <v>2.0</v>
      </c>
      <c r="Q16" s="7">
        <v>0.5</v>
      </c>
      <c r="R16" s="7">
        <v>2.0</v>
      </c>
    </row>
    <row r="17" ht="15.75" customHeight="1">
      <c r="A17" s="6" t="s">
        <v>63</v>
      </c>
      <c r="B17" s="5">
        <v>0.0</v>
      </c>
      <c r="C17" s="5">
        <v>5.0</v>
      </c>
      <c r="D17" s="5">
        <v>0.0</v>
      </c>
      <c r="E17" s="5">
        <v>5.0</v>
      </c>
      <c r="F17" s="6" t="s">
        <v>64</v>
      </c>
      <c r="G17" s="2" t="s">
        <v>54</v>
      </c>
      <c r="H17" s="2">
        <v>0.0</v>
      </c>
      <c r="I17" s="2">
        <v>8.0</v>
      </c>
      <c r="J17" s="2" t="s">
        <v>65</v>
      </c>
      <c r="K17" s="2" t="s">
        <v>21</v>
      </c>
      <c r="L17" s="2">
        <v>15.0</v>
      </c>
      <c r="M17" s="2">
        <f t="shared" ref="M17:M21" si="7">B17-(0.1*B17)</f>
        <v>0</v>
      </c>
      <c r="N17" s="2">
        <f t="shared" si="6"/>
        <v>5.5</v>
      </c>
      <c r="O17" s="7">
        <v>2.0</v>
      </c>
      <c r="P17" s="7">
        <v>20.0</v>
      </c>
      <c r="Q17" s="7">
        <v>2.0</v>
      </c>
      <c r="R17" s="7">
        <v>20.0</v>
      </c>
    </row>
    <row r="18" ht="15.75" customHeight="1">
      <c r="A18" s="6" t="s">
        <v>66</v>
      </c>
      <c r="B18" s="5">
        <v>0.0</v>
      </c>
      <c r="C18" s="5">
        <v>30.0</v>
      </c>
      <c r="D18" s="5">
        <v>0.0</v>
      </c>
      <c r="E18" s="5">
        <v>30.0</v>
      </c>
      <c r="F18" s="6" t="s">
        <v>64</v>
      </c>
      <c r="G18" s="2" t="s">
        <v>54</v>
      </c>
      <c r="H18" s="2">
        <v>0.0</v>
      </c>
      <c r="I18" s="2">
        <v>45.0</v>
      </c>
      <c r="J18" s="2" t="s">
        <v>67</v>
      </c>
      <c r="K18" s="2" t="s">
        <v>28</v>
      </c>
      <c r="L18" s="2">
        <v>20.0</v>
      </c>
      <c r="M18" s="2">
        <f t="shared" si="7"/>
        <v>0</v>
      </c>
      <c r="N18" s="2">
        <f t="shared" si="6"/>
        <v>33</v>
      </c>
      <c r="O18" s="7">
        <v>5.0</v>
      </c>
      <c r="P18" s="7">
        <v>50.0</v>
      </c>
      <c r="Q18" s="7">
        <v>5.0</v>
      </c>
      <c r="R18" s="7">
        <v>50.0</v>
      </c>
    </row>
    <row r="19" ht="15.75" customHeight="1">
      <c r="A19" s="6" t="s">
        <v>68</v>
      </c>
      <c r="B19" s="5">
        <v>0.0</v>
      </c>
      <c r="C19" s="5">
        <v>1.8</v>
      </c>
      <c r="D19" s="5">
        <v>0.0</v>
      </c>
      <c r="E19" s="5">
        <v>1.8</v>
      </c>
      <c r="F19" s="6"/>
      <c r="G19" s="2" t="s">
        <v>54</v>
      </c>
      <c r="H19" s="2">
        <v>0.0</v>
      </c>
      <c r="I19" s="2">
        <v>3.0</v>
      </c>
      <c r="J19" s="2" t="s">
        <v>69</v>
      </c>
      <c r="K19" s="2" t="s">
        <v>21</v>
      </c>
      <c r="L19" s="2">
        <v>10.0</v>
      </c>
      <c r="M19" s="2">
        <f t="shared" si="7"/>
        <v>0</v>
      </c>
      <c r="N19" s="2">
        <f t="shared" si="6"/>
        <v>1.98</v>
      </c>
      <c r="O19" s="7">
        <v>0.5</v>
      </c>
      <c r="P19" s="7">
        <v>2.0</v>
      </c>
      <c r="Q19" s="7">
        <v>0.5</v>
      </c>
      <c r="R19" s="7">
        <v>2.0</v>
      </c>
    </row>
    <row r="20" ht="15.75" customHeight="1">
      <c r="A20" s="6" t="s">
        <v>70</v>
      </c>
      <c r="B20" s="5">
        <v>120.0</v>
      </c>
      <c r="C20" s="5">
        <v>240.0</v>
      </c>
      <c r="D20" s="5">
        <v>120.0</v>
      </c>
      <c r="E20" s="5">
        <v>240.0</v>
      </c>
      <c r="F20" s="6" t="s">
        <v>71</v>
      </c>
      <c r="G20" s="2" t="s">
        <v>72</v>
      </c>
      <c r="H20" s="2">
        <v>60.0</v>
      </c>
      <c r="I20" s="2">
        <v>360.0</v>
      </c>
      <c r="J20" s="2" t="s">
        <v>73</v>
      </c>
      <c r="K20" s="2" t="s">
        <v>28</v>
      </c>
      <c r="L20" s="2">
        <v>15.0</v>
      </c>
      <c r="M20" s="2">
        <f t="shared" si="7"/>
        <v>108</v>
      </c>
      <c r="N20" s="2">
        <f t="shared" si="6"/>
        <v>264</v>
      </c>
      <c r="O20" s="7">
        <v>125.0</v>
      </c>
      <c r="P20" s="7">
        <v>200.0</v>
      </c>
      <c r="Q20" s="7">
        <v>125.0</v>
      </c>
      <c r="R20" s="7">
        <v>200.0</v>
      </c>
    </row>
    <row r="21" ht="15.75" customHeight="1">
      <c r="A21" s="6" t="s">
        <v>74</v>
      </c>
      <c r="B21" s="5">
        <v>80.0</v>
      </c>
      <c r="C21" s="5">
        <v>170.0</v>
      </c>
      <c r="D21" s="5">
        <v>80.0</v>
      </c>
      <c r="E21" s="5">
        <v>170.0</v>
      </c>
      <c r="F21" s="6" t="s">
        <v>71</v>
      </c>
      <c r="G21" s="2" t="s">
        <v>72</v>
      </c>
      <c r="H21" s="2">
        <v>40.0</v>
      </c>
      <c r="I21" s="2">
        <v>255.0</v>
      </c>
      <c r="J21" s="2" t="s">
        <v>75</v>
      </c>
      <c r="K21" s="2" t="s">
        <v>28</v>
      </c>
      <c r="L21" s="2">
        <v>20.0</v>
      </c>
      <c r="M21" s="2">
        <f t="shared" si="7"/>
        <v>72</v>
      </c>
      <c r="N21" s="2">
        <f t="shared" si="6"/>
        <v>187</v>
      </c>
      <c r="O21" s="7">
        <v>50.0</v>
      </c>
      <c r="P21" s="7">
        <v>130.0</v>
      </c>
      <c r="Q21" s="7">
        <v>50.0</v>
      </c>
      <c r="R21" s="7">
        <v>130.0</v>
      </c>
    </row>
    <row r="22" ht="15.75" customHeight="1">
      <c r="A22" s="6" t="s">
        <v>76</v>
      </c>
      <c r="B22" s="5">
        <v>65.0</v>
      </c>
      <c r="C22" s="5">
        <v>85.0</v>
      </c>
      <c r="D22" s="5">
        <v>55.0</v>
      </c>
      <c r="E22" s="5">
        <v>75.0</v>
      </c>
      <c r="F22" s="6" t="s">
        <v>77</v>
      </c>
      <c r="G22" s="2" t="s">
        <v>72</v>
      </c>
      <c r="H22" s="2">
        <v>33.0</v>
      </c>
      <c r="I22" s="2">
        <v>128.0</v>
      </c>
      <c r="J22" s="2" t="s">
        <v>78</v>
      </c>
      <c r="K22" s="2" t="s">
        <v>28</v>
      </c>
      <c r="L22" s="2">
        <v>40.0</v>
      </c>
      <c r="M22" s="2">
        <f>B22-(0.4*B22)</f>
        <v>39</v>
      </c>
      <c r="N22" s="2">
        <f t="shared" si="6"/>
        <v>93.5</v>
      </c>
      <c r="O22" s="7">
        <v>40.0</v>
      </c>
      <c r="P22" s="10">
        <v>85.0</v>
      </c>
      <c r="Q22" s="7">
        <v>50.0</v>
      </c>
      <c r="R22" s="10">
        <v>85.0</v>
      </c>
    </row>
    <row r="23" ht="15.75" customHeight="1">
      <c r="A23" s="6" t="s">
        <v>79</v>
      </c>
      <c r="B23" s="5">
        <v>50.0</v>
      </c>
      <c r="C23" s="5">
        <v>90.0</v>
      </c>
      <c r="D23" s="5">
        <v>50.0</v>
      </c>
      <c r="E23" s="5">
        <v>90.0</v>
      </c>
      <c r="F23" s="6" t="s">
        <v>71</v>
      </c>
      <c r="G23" s="2" t="s">
        <v>72</v>
      </c>
      <c r="H23" s="2">
        <v>25.0</v>
      </c>
      <c r="I23" s="2">
        <v>135.0</v>
      </c>
      <c r="J23" s="2" t="s">
        <v>80</v>
      </c>
      <c r="K23" s="2" t="s">
        <v>21</v>
      </c>
      <c r="L23" s="2">
        <v>15.0</v>
      </c>
      <c r="M23" s="2">
        <f t="shared" ref="M23:M48" si="8">B23-(0.1*B23)</f>
        <v>45</v>
      </c>
      <c r="N23" s="2">
        <f>C23+(0.15*C23)</f>
        <v>103.5</v>
      </c>
      <c r="O23" s="7">
        <v>40.0</v>
      </c>
      <c r="P23" s="7">
        <v>150.0</v>
      </c>
      <c r="Q23" s="7">
        <v>40.0</v>
      </c>
      <c r="R23" s="7">
        <v>150.0</v>
      </c>
    </row>
    <row r="24" ht="15.75" customHeight="1">
      <c r="A24" s="6" t="s">
        <v>81</v>
      </c>
      <c r="B24" s="5">
        <v>0.0</v>
      </c>
      <c r="C24" s="5">
        <v>0.49</v>
      </c>
      <c r="D24" s="5">
        <v>0.0</v>
      </c>
      <c r="E24" s="5">
        <v>0.49</v>
      </c>
      <c r="F24" s="6" t="s">
        <v>82</v>
      </c>
      <c r="G24" s="2" t="s">
        <v>72</v>
      </c>
      <c r="H24" s="2">
        <v>0.0</v>
      </c>
      <c r="I24" s="2">
        <v>1.0</v>
      </c>
      <c r="J24" s="2" t="s">
        <v>83</v>
      </c>
      <c r="K24" s="2" t="s">
        <v>28</v>
      </c>
      <c r="L24" s="2">
        <v>20.0</v>
      </c>
      <c r="M24" s="2">
        <f t="shared" si="8"/>
        <v>0</v>
      </c>
      <c r="N24" s="2">
        <f>C24+(0.1*C24)</f>
        <v>0.539</v>
      </c>
      <c r="O24" s="7">
        <v>0.0</v>
      </c>
      <c r="P24" s="7">
        <v>0.5</v>
      </c>
      <c r="Q24" s="7">
        <v>0.0</v>
      </c>
      <c r="R24" s="7">
        <v>0.5</v>
      </c>
    </row>
    <row r="25" ht="15.75" customHeight="1">
      <c r="A25" s="6" t="s">
        <v>84</v>
      </c>
      <c r="B25" s="5">
        <v>5.0</v>
      </c>
      <c r="C25" s="5">
        <v>9.0</v>
      </c>
      <c r="D25" s="5">
        <v>5.0</v>
      </c>
      <c r="E25" s="5">
        <v>9.0</v>
      </c>
      <c r="F25" s="6" t="s">
        <v>85</v>
      </c>
      <c r="G25" s="2" t="s">
        <v>72</v>
      </c>
      <c r="H25" s="2">
        <v>3.0</v>
      </c>
      <c r="I25" s="2">
        <v>14.0</v>
      </c>
      <c r="J25" s="2" t="s">
        <v>86</v>
      </c>
      <c r="K25" s="2" t="s">
        <v>28</v>
      </c>
      <c r="L25" s="2">
        <v>20.0</v>
      </c>
      <c r="M25" s="2">
        <f t="shared" si="8"/>
        <v>4.5</v>
      </c>
      <c r="N25" s="2">
        <f>C25+(0.25*C25)</f>
        <v>11.25</v>
      </c>
      <c r="O25" s="7">
        <v>5.0</v>
      </c>
      <c r="P25" s="7">
        <v>15.0</v>
      </c>
      <c r="Q25" s="7">
        <v>5.0</v>
      </c>
      <c r="R25" s="7">
        <v>15.0</v>
      </c>
    </row>
    <row r="26" ht="15.75" customHeight="1">
      <c r="A26" s="6" t="s">
        <v>87</v>
      </c>
      <c r="B26" s="5">
        <v>22.0</v>
      </c>
      <c r="C26" s="5">
        <v>30.0</v>
      </c>
      <c r="D26" s="11"/>
      <c r="E26" s="11"/>
      <c r="F26" s="6" t="s">
        <v>33</v>
      </c>
      <c r="G26" s="2" t="s">
        <v>88</v>
      </c>
      <c r="H26" s="2">
        <v>11.0</v>
      </c>
      <c r="I26" s="2">
        <v>45.0</v>
      </c>
      <c r="J26" s="2" t="s">
        <v>89</v>
      </c>
      <c r="K26" s="2" t="s">
        <v>21</v>
      </c>
      <c r="L26" s="2">
        <v>10.0</v>
      </c>
      <c r="M26" s="2">
        <f t="shared" si="8"/>
        <v>19.8</v>
      </c>
      <c r="N26" s="2">
        <f t="shared" ref="N26:N33" si="9">C26+(0.1*C26)</f>
        <v>33</v>
      </c>
      <c r="O26" s="7">
        <v>10.0</v>
      </c>
      <c r="P26" s="7">
        <v>40.0</v>
      </c>
      <c r="Q26" s="7">
        <v>30.0</v>
      </c>
      <c r="R26" s="7">
        <v>400.0</v>
      </c>
    </row>
    <row r="27" ht="15.75" customHeight="1">
      <c r="A27" s="6" t="s">
        <v>90</v>
      </c>
      <c r="B27" s="5">
        <v>0.0</v>
      </c>
      <c r="C27" s="5">
        <v>1.0</v>
      </c>
      <c r="D27" s="11"/>
      <c r="E27" s="11"/>
      <c r="F27" s="6" t="s">
        <v>91</v>
      </c>
      <c r="G27" s="2" t="s">
        <v>88</v>
      </c>
      <c r="H27" s="2">
        <v>0.0</v>
      </c>
      <c r="I27" s="2">
        <v>2.0</v>
      </c>
      <c r="J27" s="2" t="s">
        <v>92</v>
      </c>
      <c r="K27" s="2" t="s">
        <v>21</v>
      </c>
      <c r="L27" s="2">
        <v>10.0</v>
      </c>
      <c r="M27" s="2">
        <f t="shared" si="8"/>
        <v>0</v>
      </c>
      <c r="N27" s="2">
        <f t="shared" si="9"/>
        <v>1.1</v>
      </c>
      <c r="O27" s="7">
        <v>0.1</v>
      </c>
      <c r="P27" s="7">
        <v>1.0</v>
      </c>
      <c r="Q27" s="7">
        <v>1.0</v>
      </c>
      <c r="R27" s="7">
        <v>20.0</v>
      </c>
    </row>
    <row r="28" ht="15.75" customHeight="1">
      <c r="A28" s="6" t="s">
        <v>93</v>
      </c>
      <c r="B28" s="5">
        <v>3.0</v>
      </c>
      <c r="C28" s="5">
        <v>15.0</v>
      </c>
      <c r="D28" s="5">
        <v>3.0</v>
      </c>
      <c r="E28" s="5">
        <v>15.0</v>
      </c>
      <c r="F28" s="6" t="s">
        <v>94</v>
      </c>
      <c r="G28" s="2" t="s">
        <v>88</v>
      </c>
      <c r="H28" s="2">
        <v>2.0</v>
      </c>
      <c r="I28" s="2">
        <v>23.0</v>
      </c>
      <c r="J28" s="2" t="s">
        <v>95</v>
      </c>
      <c r="K28" s="2" t="s">
        <v>21</v>
      </c>
      <c r="L28" s="2">
        <v>10.0</v>
      </c>
      <c r="M28" s="2">
        <f t="shared" si="8"/>
        <v>2.7</v>
      </c>
      <c r="N28" s="2">
        <f t="shared" si="9"/>
        <v>16.5</v>
      </c>
      <c r="O28" s="7">
        <v>2.0</v>
      </c>
      <c r="P28" s="7">
        <v>18.0</v>
      </c>
      <c r="Q28" s="7">
        <v>2.0</v>
      </c>
      <c r="R28" s="7">
        <v>29.0</v>
      </c>
    </row>
    <row r="29" ht="15.75" customHeight="1">
      <c r="A29" s="6" t="s">
        <v>96</v>
      </c>
      <c r="B29" s="5">
        <v>1.5</v>
      </c>
      <c r="C29" s="5">
        <v>12.4</v>
      </c>
      <c r="D29" s="5">
        <v>1.5</v>
      </c>
      <c r="E29" s="5">
        <v>12.4</v>
      </c>
      <c r="F29" s="6" t="s">
        <v>97</v>
      </c>
      <c r="G29" s="2" t="s">
        <v>88</v>
      </c>
      <c r="H29" s="2">
        <v>1.0</v>
      </c>
      <c r="I29" s="2">
        <v>19.0</v>
      </c>
      <c r="J29" s="2" t="s">
        <v>98</v>
      </c>
      <c r="K29" s="2" t="s">
        <v>21</v>
      </c>
      <c r="L29" s="2">
        <v>10.0</v>
      </c>
      <c r="M29" s="2">
        <f t="shared" si="8"/>
        <v>1.35</v>
      </c>
      <c r="N29" s="2">
        <f t="shared" si="9"/>
        <v>13.64</v>
      </c>
      <c r="O29" s="7">
        <v>1.5</v>
      </c>
      <c r="P29" s="7">
        <v>12.4</v>
      </c>
      <c r="Q29" s="7">
        <v>4.7</v>
      </c>
      <c r="R29" s="7">
        <v>21.5</v>
      </c>
    </row>
    <row r="30" ht="15.75" customHeight="1">
      <c r="A30" s="6" t="s">
        <v>99</v>
      </c>
      <c r="B30" s="5">
        <v>0.7</v>
      </c>
      <c r="C30" s="5">
        <v>7.9</v>
      </c>
      <c r="D30" s="5">
        <v>0.7</v>
      </c>
      <c r="E30" s="5">
        <v>7.9</v>
      </c>
      <c r="F30" s="6" t="s">
        <v>100</v>
      </c>
      <c r="G30" s="2" t="s">
        <v>88</v>
      </c>
      <c r="H30" s="2">
        <v>0.0</v>
      </c>
      <c r="I30" s="2">
        <v>12.0</v>
      </c>
      <c r="J30" s="2" t="s">
        <v>101</v>
      </c>
      <c r="K30" s="2" t="s">
        <v>21</v>
      </c>
      <c r="L30" s="2">
        <v>10.0</v>
      </c>
      <c r="M30" s="2">
        <f t="shared" si="8"/>
        <v>0.63</v>
      </c>
      <c r="N30" s="2">
        <f t="shared" si="9"/>
        <v>8.69</v>
      </c>
      <c r="O30" s="7">
        <v>1.7</v>
      </c>
      <c r="P30" s="7">
        <v>8.6</v>
      </c>
      <c r="Q30" s="7">
        <v>1.0</v>
      </c>
      <c r="R30" s="7">
        <v>11.4</v>
      </c>
    </row>
    <row r="31" ht="15.75" customHeight="1">
      <c r="A31" s="6" t="s">
        <v>102</v>
      </c>
      <c r="B31" s="5">
        <v>600.0</v>
      </c>
      <c r="C31" s="5">
        <v>900.0</v>
      </c>
      <c r="D31" s="5">
        <v>2.0</v>
      </c>
      <c r="E31" s="5">
        <v>45.0</v>
      </c>
      <c r="F31" s="6" t="s">
        <v>103</v>
      </c>
      <c r="G31" s="2" t="s">
        <v>88</v>
      </c>
      <c r="H31" s="2">
        <v>300.0</v>
      </c>
      <c r="I31" s="2">
        <v>1350.0</v>
      </c>
      <c r="J31" s="2" t="s">
        <v>104</v>
      </c>
      <c r="K31" s="2" t="s">
        <v>21</v>
      </c>
      <c r="L31" s="2">
        <v>10.0</v>
      </c>
      <c r="M31" s="2">
        <f t="shared" si="8"/>
        <v>540</v>
      </c>
      <c r="N31" s="2">
        <f t="shared" si="9"/>
        <v>990</v>
      </c>
      <c r="O31" s="7">
        <v>300.0</v>
      </c>
      <c r="P31" s="7">
        <v>1000.0</v>
      </c>
      <c r="Q31" s="7">
        <v>15.0</v>
      </c>
      <c r="R31" s="7">
        <v>70.0</v>
      </c>
    </row>
    <row r="32" ht="15.75" customHeight="1">
      <c r="A32" s="6" t="s">
        <v>105</v>
      </c>
      <c r="B32" s="5">
        <v>28.0</v>
      </c>
      <c r="C32" s="5">
        <v>175.0</v>
      </c>
      <c r="D32" s="5">
        <v>28.0</v>
      </c>
      <c r="E32" s="5">
        <v>175.0</v>
      </c>
      <c r="F32" s="6" t="s">
        <v>106</v>
      </c>
      <c r="G32" s="2" t="s">
        <v>88</v>
      </c>
      <c r="H32" s="2">
        <v>14.0</v>
      </c>
      <c r="I32" s="2">
        <v>263.0</v>
      </c>
      <c r="J32" s="2" t="s">
        <v>107</v>
      </c>
      <c r="K32" s="2" t="s">
        <v>21</v>
      </c>
      <c r="L32" s="2">
        <v>10.0</v>
      </c>
      <c r="M32" s="2">
        <f t="shared" si="8"/>
        <v>25.2</v>
      </c>
      <c r="N32" s="2">
        <f t="shared" si="9"/>
        <v>192.5</v>
      </c>
      <c r="O32" s="7">
        <v>80.0</v>
      </c>
      <c r="P32" s="7">
        <v>560.0</v>
      </c>
      <c r="Q32" s="7">
        <v>35.0</v>
      </c>
      <c r="R32" s="7">
        <v>430.0</v>
      </c>
    </row>
    <row r="33" ht="15.75" customHeight="1">
      <c r="A33" s="6" t="s">
        <v>108</v>
      </c>
      <c r="B33" s="5">
        <v>5.0</v>
      </c>
      <c r="C33" s="5">
        <v>25.0</v>
      </c>
      <c r="D33" s="8">
        <v>6.2</v>
      </c>
      <c r="E33" s="8">
        <v>19.4</v>
      </c>
      <c r="F33" s="6" t="s">
        <v>109</v>
      </c>
      <c r="G33" s="2" t="s">
        <v>88</v>
      </c>
      <c r="H33" s="2">
        <v>3.0</v>
      </c>
      <c r="I33" s="2">
        <v>38.0</v>
      </c>
      <c r="J33" s="2" t="s">
        <v>110</v>
      </c>
      <c r="K33" s="2" t="s">
        <v>21</v>
      </c>
      <c r="L33" s="2">
        <v>10.0</v>
      </c>
      <c r="M33" s="2">
        <f t="shared" si="8"/>
        <v>4.5</v>
      </c>
      <c r="N33" s="2">
        <f t="shared" si="9"/>
        <v>27.5</v>
      </c>
      <c r="O33" s="7">
        <v>6.0</v>
      </c>
      <c r="P33" s="7">
        <v>23.0</v>
      </c>
      <c r="Q33" s="7">
        <v>6.0</v>
      </c>
      <c r="R33" s="7">
        <v>23.0</v>
      </c>
    </row>
    <row r="34" ht="15.75" customHeight="1">
      <c r="A34" s="6" t="s">
        <v>111</v>
      </c>
      <c r="B34" s="5">
        <v>0.0</v>
      </c>
      <c r="C34" s="5">
        <v>1.0</v>
      </c>
      <c r="D34" s="5">
        <v>0.0</v>
      </c>
      <c r="E34" s="5">
        <v>1.0</v>
      </c>
      <c r="F34" s="6" t="s">
        <v>112</v>
      </c>
      <c r="G34" s="2" t="s">
        <v>113</v>
      </c>
      <c r="H34" s="2">
        <v>0.0</v>
      </c>
      <c r="I34" s="2">
        <v>2.0</v>
      </c>
      <c r="J34" s="2" t="s">
        <v>114</v>
      </c>
      <c r="K34" s="2" t="s">
        <v>21</v>
      </c>
      <c r="L34" s="2">
        <v>40.0</v>
      </c>
      <c r="M34" s="2">
        <f t="shared" si="8"/>
        <v>0</v>
      </c>
      <c r="N34" s="2">
        <f>C34+(0.4*C34)</f>
        <v>1.4</v>
      </c>
      <c r="O34" s="7">
        <v>0.0</v>
      </c>
      <c r="P34" s="7">
        <v>3.0</v>
      </c>
      <c r="Q34" s="7">
        <v>0.0</v>
      </c>
      <c r="R34" s="7">
        <v>3.0</v>
      </c>
    </row>
    <row r="35" ht="15.75" customHeight="1">
      <c r="A35" s="6" t="s">
        <v>115</v>
      </c>
      <c r="B35" s="5">
        <v>0.0</v>
      </c>
      <c r="C35" s="5">
        <v>5.0</v>
      </c>
      <c r="D35" s="5">
        <v>5.0</v>
      </c>
      <c r="E35" s="5">
        <v>10.0</v>
      </c>
      <c r="F35" s="6" t="s">
        <v>116</v>
      </c>
      <c r="G35" s="2" t="s">
        <v>113</v>
      </c>
      <c r="H35" s="2">
        <v>0.0</v>
      </c>
      <c r="I35" s="2">
        <v>8.0</v>
      </c>
      <c r="J35" s="2" t="s">
        <v>117</v>
      </c>
      <c r="K35" s="2" t="s">
        <v>21</v>
      </c>
      <c r="L35" s="2">
        <v>60.0</v>
      </c>
      <c r="M35" s="2">
        <f t="shared" si="8"/>
        <v>0</v>
      </c>
      <c r="N35" s="2">
        <f>C35+(0.6*C35)</f>
        <v>8</v>
      </c>
      <c r="O35" s="7">
        <v>0.0</v>
      </c>
      <c r="P35" s="7">
        <v>15.0</v>
      </c>
      <c r="Q35" s="7">
        <v>0.0</v>
      </c>
      <c r="R35" s="7">
        <v>20.0</v>
      </c>
    </row>
    <row r="36" ht="15.75" customHeight="1">
      <c r="A36" s="6" t="s">
        <v>118</v>
      </c>
      <c r="B36" s="5">
        <v>3.5</v>
      </c>
      <c r="C36" s="5">
        <v>6.0</v>
      </c>
      <c r="D36" s="5">
        <v>3.5</v>
      </c>
      <c r="E36" s="5">
        <v>6.0</v>
      </c>
      <c r="F36" s="6" t="s">
        <v>119</v>
      </c>
      <c r="G36" s="2" t="s">
        <v>113</v>
      </c>
      <c r="H36" s="2">
        <v>2.0</v>
      </c>
      <c r="I36" s="2">
        <v>9.0</v>
      </c>
      <c r="J36" s="2" t="s">
        <v>120</v>
      </c>
      <c r="K36" s="2" t="s">
        <v>28</v>
      </c>
      <c r="L36" s="2">
        <v>20.0</v>
      </c>
      <c r="M36" s="2">
        <f t="shared" si="8"/>
        <v>3.15</v>
      </c>
      <c r="N36" s="2">
        <f t="shared" ref="N36:N37" si="10">C36+(0.2*C36)</f>
        <v>7.2</v>
      </c>
      <c r="O36" s="7">
        <v>4.5</v>
      </c>
      <c r="P36" s="7">
        <v>11.0</v>
      </c>
      <c r="Q36" s="7">
        <v>4.5</v>
      </c>
      <c r="R36" s="7">
        <v>11.0</v>
      </c>
    </row>
    <row r="37" ht="15.75" customHeight="1">
      <c r="A37" s="6" t="s">
        <v>121</v>
      </c>
      <c r="B37" s="5">
        <v>50.0</v>
      </c>
      <c r="C37" s="5">
        <v>60.0</v>
      </c>
      <c r="D37" s="5">
        <v>50.0</v>
      </c>
      <c r="E37" s="5">
        <v>60.0</v>
      </c>
      <c r="F37" s="6" t="s">
        <v>26</v>
      </c>
      <c r="G37" s="2" t="s">
        <v>113</v>
      </c>
      <c r="H37" s="2">
        <v>25.0</v>
      </c>
      <c r="I37" s="2">
        <v>90.0</v>
      </c>
      <c r="J37" s="2" t="s">
        <v>122</v>
      </c>
      <c r="K37" s="2" t="s">
        <v>28</v>
      </c>
      <c r="L37" s="2">
        <v>20.0</v>
      </c>
      <c r="M37" s="2">
        <f t="shared" si="8"/>
        <v>45</v>
      </c>
      <c r="N37" s="2">
        <f t="shared" si="10"/>
        <v>72</v>
      </c>
      <c r="O37" s="7">
        <v>40.0</v>
      </c>
      <c r="P37" s="7">
        <v>60.0</v>
      </c>
      <c r="Q37" s="7">
        <v>40.0</v>
      </c>
      <c r="R37" s="7">
        <v>60.0</v>
      </c>
    </row>
    <row r="38" ht="15.75" customHeight="1">
      <c r="A38" s="6" t="s">
        <v>123</v>
      </c>
      <c r="B38" s="5">
        <v>1.5</v>
      </c>
      <c r="C38" s="5">
        <v>3.25</v>
      </c>
      <c r="D38" s="5">
        <v>1.5</v>
      </c>
      <c r="E38" s="5">
        <v>3.25</v>
      </c>
      <c r="F38" s="6" t="s">
        <v>119</v>
      </c>
      <c r="G38" s="2" t="s">
        <v>113</v>
      </c>
      <c r="H38" s="2">
        <v>1.0</v>
      </c>
      <c r="I38" s="2">
        <v>5.0</v>
      </c>
      <c r="J38" s="2" t="s">
        <v>124</v>
      </c>
      <c r="K38" s="2" t="s">
        <v>28</v>
      </c>
      <c r="L38" s="2">
        <v>20.0</v>
      </c>
      <c r="M38" s="2">
        <f t="shared" si="8"/>
        <v>1.35</v>
      </c>
      <c r="N38" s="2">
        <f t="shared" ref="N38:N42" si="11">C38+(0.1*C38)</f>
        <v>3.575</v>
      </c>
      <c r="O38" s="7">
        <v>1.8</v>
      </c>
      <c r="P38" s="7">
        <v>7.5</v>
      </c>
      <c r="Q38" s="7">
        <v>1.8</v>
      </c>
      <c r="R38" s="7">
        <v>7.5</v>
      </c>
    </row>
    <row r="39" ht="15.75" customHeight="1">
      <c r="A39" s="9" t="s">
        <v>125</v>
      </c>
      <c r="B39" s="5">
        <v>30.0</v>
      </c>
      <c r="C39" s="5">
        <v>35.0</v>
      </c>
      <c r="D39" s="5">
        <v>30.0</v>
      </c>
      <c r="E39" s="5">
        <v>35.0</v>
      </c>
      <c r="F39" s="6" t="s">
        <v>26</v>
      </c>
      <c r="G39" s="2" t="s">
        <v>113</v>
      </c>
      <c r="H39" s="2">
        <v>15.0</v>
      </c>
      <c r="I39" s="2">
        <v>53.0</v>
      </c>
      <c r="J39" s="2" t="s">
        <v>126</v>
      </c>
      <c r="K39" s="2" t="s">
        <v>28</v>
      </c>
      <c r="L39" s="2">
        <v>20.0</v>
      </c>
      <c r="M39" s="2">
        <f t="shared" si="8"/>
        <v>27</v>
      </c>
      <c r="N39" s="2">
        <f t="shared" si="11"/>
        <v>38.5</v>
      </c>
      <c r="O39" s="7">
        <v>20.0</v>
      </c>
      <c r="P39" s="7">
        <v>40.0</v>
      </c>
      <c r="Q39" s="7">
        <v>20.0</v>
      </c>
      <c r="R39" s="7">
        <v>40.0</v>
      </c>
    </row>
    <row r="40" ht="15.75" customHeight="1">
      <c r="A40" s="9" t="s">
        <v>127</v>
      </c>
      <c r="B40" s="5">
        <v>0.7</v>
      </c>
      <c r="C40" s="5">
        <v>2.0</v>
      </c>
      <c r="D40" s="5">
        <v>0.7</v>
      </c>
      <c r="E40" s="5">
        <v>2.0</v>
      </c>
      <c r="F40" s="6" t="s">
        <v>119</v>
      </c>
      <c r="G40" s="2" t="s">
        <v>113</v>
      </c>
      <c r="H40" s="2">
        <v>0.0</v>
      </c>
      <c r="I40" s="2">
        <v>3.0</v>
      </c>
      <c r="J40" s="2" t="s">
        <v>128</v>
      </c>
      <c r="K40" s="2" t="s">
        <v>28</v>
      </c>
      <c r="L40" s="2">
        <v>20.0</v>
      </c>
      <c r="M40" s="2">
        <f t="shared" si="8"/>
        <v>0.63</v>
      </c>
      <c r="N40" s="2">
        <f t="shared" si="11"/>
        <v>2.2</v>
      </c>
      <c r="O40" s="7">
        <v>1.0</v>
      </c>
      <c r="P40" s="7">
        <v>4.0</v>
      </c>
      <c r="Q40" s="7">
        <v>1.0</v>
      </c>
      <c r="R40" s="7">
        <v>4.0</v>
      </c>
    </row>
    <row r="41" ht="15.75" customHeight="1">
      <c r="A41" s="6" t="s">
        <v>129</v>
      </c>
      <c r="B41" s="5">
        <v>1.0</v>
      </c>
      <c r="C41" s="5">
        <v>7.0</v>
      </c>
      <c r="D41" s="5">
        <v>1.0</v>
      </c>
      <c r="E41" s="5">
        <v>7.0</v>
      </c>
      <c r="F41" s="6" t="s">
        <v>26</v>
      </c>
      <c r="G41" s="2" t="s">
        <v>113</v>
      </c>
      <c r="H41" s="2">
        <v>1.0</v>
      </c>
      <c r="I41" s="2">
        <v>11.0</v>
      </c>
      <c r="J41" s="2" t="s">
        <v>130</v>
      </c>
      <c r="K41" s="2" t="s">
        <v>28</v>
      </c>
      <c r="L41" s="2">
        <v>20.0</v>
      </c>
      <c r="M41" s="2">
        <f t="shared" si="8"/>
        <v>0.9</v>
      </c>
      <c r="N41" s="2">
        <f t="shared" si="11"/>
        <v>7.7</v>
      </c>
      <c r="O41" s="7">
        <v>2.0</v>
      </c>
      <c r="P41" s="7">
        <v>8.0</v>
      </c>
      <c r="Q41" s="7">
        <v>2.0</v>
      </c>
      <c r="R41" s="7">
        <v>8.0</v>
      </c>
    </row>
    <row r="42" ht="15.75" customHeight="1">
      <c r="A42" s="6" t="s">
        <v>131</v>
      </c>
      <c r="B42" s="5">
        <v>0.2</v>
      </c>
      <c r="C42" s="5">
        <v>0.4</v>
      </c>
      <c r="D42" s="5">
        <v>0.2</v>
      </c>
      <c r="E42" s="5">
        <v>0.4</v>
      </c>
      <c r="F42" s="6" t="s">
        <v>119</v>
      </c>
      <c r="G42" s="2" t="s">
        <v>113</v>
      </c>
      <c r="H42" s="2">
        <v>0.0</v>
      </c>
      <c r="I42" s="2">
        <v>1.0</v>
      </c>
      <c r="J42" s="2" t="s">
        <v>132</v>
      </c>
      <c r="K42" s="2" t="s">
        <v>28</v>
      </c>
      <c r="L42" s="2">
        <v>20.0</v>
      </c>
      <c r="M42" s="2">
        <f t="shared" si="8"/>
        <v>0.18</v>
      </c>
      <c r="N42" s="2">
        <f t="shared" si="11"/>
        <v>0.44</v>
      </c>
      <c r="O42" s="7">
        <v>0.2</v>
      </c>
      <c r="P42" s="7">
        <v>0.8</v>
      </c>
      <c r="Q42" s="7">
        <v>0.2</v>
      </c>
      <c r="R42" s="7">
        <v>0.8</v>
      </c>
    </row>
    <row r="43" ht="15.75" customHeight="1">
      <c r="A43" s="9" t="s">
        <v>133</v>
      </c>
      <c r="B43" s="5">
        <v>0.0</v>
      </c>
      <c r="C43" s="5">
        <v>3.0</v>
      </c>
      <c r="D43" s="5">
        <v>0.0</v>
      </c>
      <c r="E43" s="5">
        <v>3.0</v>
      </c>
      <c r="F43" s="6" t="s">
        <v>26</v>
      </c>
      <c r="G43" s="2" t="s">
        <v>113</v>
      </c>
      <c r="H43" s="2">
        <v>0.0</v>
      </c>
      <c r="I43" s="2">
        <v>5.0</v>
      </c>
      <c r="J43" s="2" t="s">
        <v>134</v>
      </c>
      <c r="K43" s="2" t="s">
        <v>28</v>
      </c>
      <c r="L43" s="2">
        <v>40.0</v>
      </c>
      <c r="M43" s="2">
        <f t="shared" si="8"/>
        <v>0</v>
      </c>
      <c r="N43" s="2">
        <f>C43+(0.4*C43)</f>
        <v>4.2</v>
      </c>
      <c r="O43" s="7">
        <v>1.0</v>
      </c>
      <c r="P43" s="7">
        <v>4.0</v>
      </c>
      <c r="Q43" s="7">
        <v>1.0</v>
      </c>
      <c r="R43" s="7">
        <v>4.0</v>
      </c>
    </row>
    <row r="44" ht="15.75" customHeight="1">
      <c r="A44" s="6" t="s">
        <v>135</v>
      </c>
      <c r="B44" s="5">
        <v>0.1</v>
      </c>
      <c r="C44" s="5">
        <v>0.5</v>
      </c>
      <c r="D44" s="5">
        <v>0.1</v>
      </c>
      <c r="E44" s="5">
        <v>0.5</v>
      </c>
      <c r="F44" s="6" t="s">
        <v>119</v>
      </c>
      <c r="G44" s="2" t="s">
        <v>113</v>
      </c>
      <c r="H44" s="2">
        <v>0.0</v>
      </c>
      <c r="I44" s="2">
        <v>1.0</v>
      </c>
      <c r="J44" s="2" t="s">
        <v>136</v>
      </c>
      <c r="K44" s="2" t="s">
        <v>28</v>
      </c>
      <c r="L44" s="2">
        <v>40.0</v>
      </c>
      <c r="M44" s="2">
        <f t="shared" si="8"/>
        <v>0.09</v>
      </c>
      <c r="N44" s="2">
        <f>C44+(0.1*C44)</f>
        <v>0.55</v>
      </c>
      <c r="O44" s="7">
        <v>0.0</v>
      </c>
      <c r="P44" s="7">
        <v>0.5</v>
      </c>
      <c r="Q44" s="7">
        <v>0.0</v>
      </c>
      <c r="R44" s="7">
        <v>0.5</v>
      </c>
    </row>
    <row r="45" ht="15.75" customHeight="1">
      <c r="A45" s="6" t="s">
        <v>137</v>
      </c>
      <c r="B45" s="5">
        <v>0.0</v>
      </c>
      <c r="C45" s="5">
        <v>0.2</v>
      </c>
      <c r="D45" s="5">
        <v>0.0</v>
      </c>
      <c r="E45" s="5">
        <v>0.2</v>
      </c>
      <c r="F45" s="6" t="s">
        <v>119</v>
      </c>
      <c r="G45" s="2" t="s">
        <v>113</v>
      </c>
      <c r="H45" s="2">
        <v>0.0</v>
      </c>
      <c r="I45" s="2">
        <v>0.0</v>
      </c>
      <c r="J45" s="2" t="s">
        <v>138</v>
      </c>
      <c r="K45" s="2" t="s">
        <v>28</v>
      </c>
      <c r="L45" s="2">
        <v>60.0</v>
      </c>
      <c r="M45" s="2">
        <f t="shared" si="8"/>
        <v>0</v>
      </c>
      <c r="N45" s="2">
        <f>C45+(0.5*C45)</f>
        <v>0.3</v>
      </c>
      <c r="O45" s="7">
        <v>0.0</v>
      </c>
      <c r="P45" s="7">
        <v>0.3</v>
      </c>
      <c r="Q45" s="7">
        <v>0.0</v>
      </c>
      <c r="R45" s="7">
        <v>0.3</v>
      </c>
    </row>
    <row r="46" ht="15.75" customHeight="1">
      <c r="A46" s="6" t="s">
        <v>139</v>
      </c>
      <c r="B46" s="5">
        <v>0.0</v>
      </c>
      <c r="C46" s="5">
        <v>2.5</v>
      </c>
      <c r="D46" s="5">
        <v>0.0</v>
      </c>
      <c r="E46" s="5">
        <v>2.5</v>
      </c>
      <c r="F46" s="6"/>
      <c r="G46" s="2" t="s">
        <v>113</v>
      </c>
      <c r="H46" s="2">
        <v>0.0</v>
      </c>
      <c r="I46" s="2">
        <v>4.0</v>
      </c>
      <c r="J46" s="2" t="s">
        <v>140</v>
      </c>
      <c r="K46" s="2" t="s">
        <v>28</v>
      </c>
      <c r="L46" s="2">
        <v>40.0</v>
      </c>
      <c r="M46" s="2">
        <f t="shared" si="8"/>
        <v>0</v>
      </c>
      <c r="N46" s="2">
        <f t="shared" ref="N46:N50" si="12">C46+(0.1*C46)</f>
        <v>2.75</v>
      </c>
      <c r="O46" s="7">
        <v>0.78</v>
      </c>
      <c r="P46" s="7">
        <v>3.53</v>
      </c>
      <c r="Q46" s="7">
        <v>0.78</v>
      </c>
      <c r="R46" s="7">
        <v>3.53</v>
      </c>
    </row>
    <row r="47" ht="15.75" customHeight="1">
      <c r="A47" s="6" t="s">
        <v>141</v>
      </c>
      <c r="B47" s="5">
        <v>140.0</v>
      </c>
      <c r="C47" s="5">
        <v>175.0</v>
      </c>
      <c r="D47" s="5">
        <v>140.0</v>
      </c>
      <c r="E47" s="5">
        <v>175.0</v>
      </c>
      <c r="F47" s="6" t="s">
        <v>142</v>
      </c>
      <c r="G47" s="2" t="s">
        <v>113</v>
      </c>
      <c r="H47" s="2">
        <v>70.0</v>
      </c>
      <c r="I47" s="2">
        <v>263.0</v>
      </c>
      <c r="J47" s="2" t="s">
        <v>143</v>
      </c>
      <c r="K47" s="2" t="s">
        <v>28</v>
      </c>
      <c r="L47" s="2">
        <v>20.0</v>
      </c>
      <c r="M47" s="2">
        <f t="shared" si="8"/>
        <v>126</v>
      </c>
      <c r="N47" s="2">
        <f t="shared" si="12"/>
        <v>192.5</v>
      </c>
      <c r="O47" s="7">
        <v>135.0</v>
      </c>
      <c r="P47" s="7">
        <v>225.0</v>
      </c>
      <c r="Q47" s="7">
        <v>135.0</v>
      </c>
      <c r="R47" s="7">
        <v>214.0</v>
      </c>
    </row>
    <row r="48" ht="15.75" customHeight="1">
      <c r="A48" s="9" t="s">
        <v>144</v>
      </c>
      <c r="B48" s="5">
        <v>2.0</v>
      </c>
      <c r="C48" s="5">
        <v>6.0</v>
      </c>
      <c r="D48" s="5">
        <v>2.0</v>
      </c>
      <c r="E48" s="5">
        <v>6.0</v>
      </c>
      <c r="F48" s="6" t="s">
        <v>33</v>
      </c>
      <c r="G48" s="2" t="s">
        <v>113</v>
      </c>
      <c r="H48" s="2">
        <v>1.0</v>
      </c>
      <c r="I48" s="2">
        <v>9.0</v>
      </c>
      <c r="J48" s="2" t="s">
        <v>145</v>
      </c>
      <c r="K48" s="2" t="s">
        <v>28</v>
      </c>
      <c r="L48" s="2">
        <v>20.0</v>
      </c>
      <c r="M48" s="2">
        <f t="shared" si="8"/>
        <v>1.8</v>
      </c>
      <c r="N48" s="2">
        <f t="shared" si="12"/>
        <v>6.6</v>
      </c>
      <c r="O48" s="7">
        <v>0.0</v>
      </c>
      <c r="P48" s="7">
        <v>17.4</v>
      </c>
      <c r="Q48" s="7">
        <v>0.0</v>
      </c>
      <c r="R48" s="7">
        <v>17.4</v>
      </c>
    </row>
    <row r="49" ht="15.75" customHeight="1">
      <c r="A49" s="6" t="s">
        <v>146</v>
      </c>
      <c r="B49" s="5">
        <v>80.0</v>
      </c>
      <c r="C49" s="5">
        <v>100.0</v>
      </c>
      <c r="D49" s="5">
        <v>80.0</v>
      </c>
      <c r="E49" s="5">
        <v>100.0</v>
      </c>
      <c r="F49" s="6" t="s">
        <v>106</v>
      </c>
      <c r="G49" s="2" t="s">
        <v>147</v>
      </c>
      <c r="H49" s="2">
        <v>40.0</v>
      </c>
      <c r="I49" s="2">
        <v>150.0</v>
      </c>
      <c r="J49" s="2" t="s">
        <v>148</v>
      </c>
      <c r="K49" s="2" t="s">
        <v>21</v>
      </c>
      <c r="L49" s="2">
        <v>15.0</v>
      </c>
      <c r="M49" s="2">
        <f>B49-(0.15*B49)</f>
        <v>68</v>
      </c>
      <c r="N49" s="2">
        <f t="shared" si="12"/>
        <v>110</v>
      </c>
      <c r="O49" s="7">
        <v>70.0</v>
      </c>
      <c r="P49" s="7">
        <v>175.0</v>
      </c>
      <c r="Q49" s="7">
        <v>50.0</v>
      </c>
      <c r="R49" s="7">
        <v>170.0</v>
      </c>
    </row>
    <row r="50" ht="15.75" customHeight="1">
      <c r="A50" s="6" t="s">
        <v>149</v>
      </c>
      <c r="B50" s="5">
        <v>250.0</v>
      </c>
      <c r="C50" s="5">
        <v>370.0</v>
      </c>
      <c r="D50" s="5">
        <v>250.0</v>
      </c>
      <c r="E50" s="5">
        <v>315.0</v>
      </c>
      <c r="F50" s="6" t="s">
        <v>106</v>
      </c>
      <c r="G50" s="2" t="s">
        <v>147</v>
      </c>
      <c r="H50" s="2">
        <v>125.0</v>
      </c>
      <c r="I50" s="2">
        <v>555.0</v>
      </c>
      <c r="J50" s="2" t="s">
        <v>150</v>
      </c>
      <c r="K50" s="2" t="s">
        <v>28</v>
      </c>
      <c r="L50" s="2">
        <v>20.0</v>
      </c>
      <c r="M50" s="2">
        <f t="shared" ref="M50:M51" si="13">B50-(0.1*B50)</f>
        <v>225</v>
      </c>
      <c r="N50" s="2">
        <f t="shared" si="12"/>
        <v>407</v>
      </c>
      <c r="O50" s="7">
        <v>250.0</v>
      </c>
      <c r="P50" s="7">
        <v>450.0</v>
      </c>
      <c r="Q50" s="7">
        <v>250.0</v>
      </c>
      <c r="R50" s="7">
        <v>450.0</v>
      </c>
    </row>
    <row r="51" ht="15.75" customHeight="1">
      <c r="A51" s="6" t="s">
        <v>151</v>
      </c>
      <c r="B51" s="5">
        <v>30.0</v>
      </c>
      <c r="C51" s="5">
        <v>40.0</v>
      </c>
      <c r="D51" s="5">
        <v>30.0</v>
      </c>
      <c r="E51" s="5">
        <v>40.0</v>
      </c>
      <c r="F51" s="6" t="s">
        <v>26</v>
      </c>
      <c r="G51" s="2" t="s">
        <v>147</v>
      </c>
      <c r="H51" s="2">
        <v>15.0</v>
      </c>
      <c r="I51" s="2">
        <v>60.0</v>
      </c>
      <c r="J51" s="2" t="s">
        <v>152</v>
      </c>
      <c r="K51" s="2" t="s">
        <v>28</v>
      </c>
      <c r="L51" s="2">
        <v>20.0</v>
      </c>
      <c r="M51" s="2">
        <f t="shared" si="13"/>
        <v>27</v>
      </c>
      <c r="N51" s="2">
        <f>C51+(0.2*C51)</f>
        <v>48</v>
      </c>
      <c r="O51" s="7">
        <v>20.0</v>
      </c>
      <c r="P51" s="7">
        <v>50.0</v>
      </c>
      <c r="Q51" s="7">
        <v>15.0</v>
      </c>
      <c r="R51" s="7">
        <v>45.0</v>
      </c>
    </row>
    <row r="52" ht="15.75" customHeight="1">
      <c r="A52" s="6" t="s">
        <v>153</v>
      </c>
      <c r="B52" s="5">
        <v>75.0</v>
      </c>
      <c r="C52" s="5">
        <v>150.0</v>
      </c>
      <c r="D52" s="5">
        <v>50.0</v>
      </c>
      <c r="E52" s="5">
        <v>125.0</v>
      </c>
      <c r="F52" s="6" t="s">
        <v>61</v>
      </c>
      <c r="G52" s="2" t="s">
        <v>147</v>
      </c>
      <c r="H52" s="2">
        <v>38.0</v>
      </c>
      <c r="I52" s="2">
        <v>225.0</v>
      </c>
      <c r="J52" s="2" t="s">
        <v>154</v>
      </c>
      <c r="K52" s="2" t="s">
        <v>21</v>
      </c>
      <c r="L52" s="2">
        <v>25.0</v>
      </c>
      <c r="M52" s="2">
        <f>B52-(0.25*B52)</f>
        <v>56.25</v>
      </c>
      <c r="N52" s="2">
        <f>C52+(0.1*C52)</f>
        <v>165</v>
      </c>
      <c r="O52" s="7">
        <v>30.0</v>
      </c>
      <c r="P52" s="7">
        <v>400.0</v>
      </c>
      <c r="Q52" s="7">
        <v>13.0</v>
      </c>
      <c r="R52" s="7">
        <v>150.0</v>
      </c>
    </row>
    <row r="53" ht="15.75" customHeight="1">
      <c r="A53" s="6" t="s">
        <v>155</v>
      </c>
      <c r="B53" s="5">
        <v>3.7</v>
      </c>
      <c r="C53" s="5">
        <v>5.5</v>
      </c>
      <c r="D53" s="5">
        <v>3.2</v>
      </c>
      <c r="E53" s="5">
        <v>4.4</v>
      </c>
      <c r="F53" s="6" t="s">
        <v>51</v>
      </c>
      <c r="G53" s="2" t="s">
        <v>156</v>
      </c>
      <c r="H53" s="2">
        <v>2.0</v>
      </c>
      <c r="I53" s="2">
        <v>8.0</v>
      </c>
      <c r="J53" s="2" t="s">
        <v>157</v>
      </c>
      <c r="K53" s="2" t="s">
        <v>28</v>
      </c>
      <c r="L53" s="2">
        <v>25.0</v>
      </c>
      <c r="M53" s="2">
        <f>B53-(0.3*B53)</f>
        <v>2.59</v>
      </c>
      <c r="N53" s="2">
        <f>C53+(0.3*C53)</f>
        <v>7.15</v>
      </c>
      <c r="O53" s="7">
        <v>4.0</v>
      </c>
      <c r="P53" s="7">
        <v>8.5</v>
      </c>
      <c r="Q53" s="7">
        <v>2.7</v>
      </c>
      <c r="R53" s="7">
        <v>7.3</v>
      </c>
    </row>
    <row r="54" ht="15.75" customHeight="1">
      <c r="A54" s="6" t="s">
        <v>158</v>
      </c>
      <c r="B54" s="5">
        <v>0.8</v>
      </c>
      <c r="C54" s="5">
        <v>1.1</v>
      </c>
      <c r="D54" s="5">
        <v>0.8</v>
      </c>
      <c r="E54" s="5">
        <v>1.1</v>
      </c>
      <c r="F54" s="6" t="s">
        <v>159</v>
      </c>
      <c r="G54" s="12" t="s">
        <v>156</v>
      </c>
      <c r="H54" s="2">
        <v>0.0</v>
      </c>
      <c r="I54" s="2">
        <v>2.0</v>
      </c>
      <c r="J54" s="2" t="s">
        <v>160</v>
      </c>
      <c r="K54" s="2" t="s">
        <v>21</v>
      </c>
      <c r="L54" s="2">
        <v>10.0</v>
      </c>
      <c r="M54" s="2">
        <f t="shared" ref="M54:M68" si="14">B54-(0.1*B54)</f>
        <v>0.72</v>
      </c>
      <c r="N54" s="2">
        <f t="shared" ref="N54:N66" si="15">C54+(0.1*C54)</f>
        <v>1.21</v>
      </c>
      <c r="O54" s="7">
        <v>0.6</v>
      </c>
      <c r="P54" s="7">
        <v>1.2</v>
      </c>
      <c r="Q54" s="7">
        <v>0.5</v>
      </c>
      <c r="R54" s="7">
        <v>1.1</v>
      </c>
    </row>
    <row r="55" ht="15.75" customHeight="1">
      <c r="A55" s="6" t="s">
        <v>161</v>
      </c>
      <c r="B55" s="5">
        <v>12.0</v>
      </c>
      <c r="C55" s="5">
        <v>19.0</v>
      </c>
      <c r="D55" s="5">
        <v>12.0</v>
      </c>
      <c r="E55" s="5">
        <v>19.0</v>
      </c>
      <c r="F55" s="6" t="s">
        <v>159</v>
      </c>
      <c r="G55" s="12" t="s">
        <v>156</v>
      </c>
      <c r="H55" s="2">
        <v>6.0</v>
      </c>
      <c r="I55" s="2">
        <v>29.0</v>
      </c>
      <c r="J55" s="2" t="s">
        <v>162</v>
      </c>
      <c r="K55" s="2" t="s">
        <v>28</v>
      </c>
      <c r="L55" s="2">
        <v>20.0</v>
      </c>
      <c r="M55" s="2">
        <f t="shared" si="14"/>
        <v>10.8</v>
      </c>
      <c r="N55" s="2">
        <f t="shared" si="15"/>
        <v>20.9</v>
      </c>
      <c r="O55" s="7">
        <v>8.0</v>
      </c>
      <c r="P55" s="7">
        <v>24.0</v>
      </c>
      <c r="Q55" s="7">
        <v>6.0</v>
      </c>
      <c r="R55" s="7">
        <v>21.0</v>
      </c>
    </row>
    <row r="56" ht="15.75" customHeight="1">
      <c r="A56" s="6" t="s">
        <v>163</v>
      </c>
      <c r="B56" s="5">
        <v>9.4</v>
      </c>
      <c r="C56" s="5">
        <v>9.8</v>
      </c>
      <c r="D56" s="5">
        <v>9.4</v>
      </c>
      <c r="E56" s="5">
        <v>9.8</v>
      </c>
      <c r="F56" s="6" t="s">
        <v>159</v>
      </c>
      <c r="G56" s="12" t="s">
        <v>156</v>
      </c>
      <c r="H56" s="2">
        <v>5.0</v>
      </c>
      <c r="I56" s="2">
        <v>15.0</v>
      </c>
      <c r="J56" s="2" t="s">
        <v>164</v>
      </c>
      <c r="K56" s="2" t="s">
        <v>28</v>
      </c>
      <c r="L56" s="2">
        <v>10.0</v>
      </c>
      <c r="M56" s="2">
        <f t="shared" si="14"/>
        <v>8.46</v>
      </c>
      <c r="N56" s="2">
        <f t="shared" si="15"/>
        <v>10.78</v>
      </c>
      <c r="O56" s="7">
        <v>8.6</v>
      </c>
      <c r="P56" s="7">
        <v>10.3</v>
      </c>
      <c r="Q56" s="7">
        <v>8.6</v>
      </c>
      <c r="R56" s="7">
        <v>10.3</v>
      </c>
    </row>
    <row r="57" ht="65.25" customHeight="1">
      <c r="A57" s="6" t="s">
        <v>165</v>
      </c>
      <c r="B57" s="5">
        <v>135.0</v>
      </c>
      <c r="C57" s="5">
        <v>142.0</v>
      </c>
      <c r="D57" s="5">
        <v>135.0</v>
      </c>
      <c r="E57" s="5">
        <v>142.0</v>
      </c>
      <c r="F57" s="6" t="s">
        <v>166</v>
      </c>
      <c r="G57" s="12" t="s">
        <v>156</v>
      </c>
      <c r="H57" s="2">
        <v>68.0</v>
      </c>
      <c r="I57" s="2">
        <v>213.0</v>
      </c>
      <c r="J57" s="2" t="s">
        <v>167</v>
      </c>
      <c r="K57" s="2" t="s">
        <v>28</v>
      </c>
      <c r="L57" s="2">
        <v>20.0</v>
      </c>
      <c r="M57" s="2">
        <f t="shared" si="14"/>
        <v>121.5</v>
      </c>
      <c r="N57" s="2">
        <f t="shared" si="15"/>
        <v>156.2</v>
      </c>
      <c r="O57" s="7">
        <v>135.0</v>
      </c>
      <c r="P57" s="7">
        <v>145.0</v>
      </c>
      <c r="Q57" s="7">
        <v>135.0</v>
      </c>
      <c r="R57" s="7">
        <v>145.0</v>
      </c>
    </row>
    <row r="58" ht="15.75" customHeight="1">
      <c r="A58" s="6" t="s">
        <v>168</v>
      </c>
      <c r="B58" s="5">
        <v>4.0</v>
      </c>
      <c r="C58" s="5">
        <v>4.4</v>
      </c>
      <c r="D58" s="5">
        <v>4.0</v>
      </c>
      <c r="E58" s="5">
        <v>4.4</v>
      </c>
      <c r="F58" s="6" t="s">
        <v>166</v>
      </c>
      <c r="G58" s="12" t="s">
        <v>156</v>
      </c>
      <c r="H58" s="2">
        <v>2.0</v>
      </c>
      <c r="I58" s="2">
        <v>7.0</v>
      </c>
      <c r="J58" s="2" t="s">
        <v>169</v>
      </c>
      <c r="K58" s="2" t="s">
        <v>28</v>
      </c>
      <c r="L58" s="2">
        <v>20.0</v>
      </c>
      <c r="M58" s="2">
        <f t="shared" si="14"/>
        <v>3.6</v>
      </c>
      <c r="N58" s="2">
        <f t="shared" si="15"/>
        <v>4.84</v>
      </c>
      <c r="O58" s="7">
        <v>3.5</v>
      </c>
      <c r="P58" s="7">
        <v>5.0</v>
      </c>
      <c r="Q58" s="7">
        <v>3.5</v>
      </c>
      <c r="R58" s="7">
        <v>5.0</v>
      </c>
    </row>
    <row r="59" ht="15.75" customHeight="1">
      <c r="A59" s="6" t="s">
        <v>170</v>
      </c>
      <c r="B59" s="5">
        <v>102.0</v>
      </c>
      <c r="C59" s="5">
        <v>105.0</v>
      </c>
      <c r="D59" s="5">
        <v>102.0</v>
      </c>
      <c r="E59" s="5">
        <v>105.0</v>
      </c>
      <c r="F59" s="6" t="s">
        <v>166</v>
      </c>
      <c r="G59" s="12" t="s">
        <v>156</v>
      </c>
      <c r="H59" s="2">
        <v>51.0</v>
      </c>
      <c r="I59" s="2">
        <v>158.0</v>
      </c>
      <c r="J59" s="2" t="s">
        <v>171</v>
      </c>
      <c r="K59" s="2" t="s">
        <v>28</v>
      </c>
      <c r="L59" s="2">
        <v>20.0</v>
      </c>
      <c r="M59" s="2">
        <f t="shared" si="14"/>
        <v>91.8</v>
      </c>
      <c r="N59" s="2">
        <f t="shared" si="15"/>
        <v>115.5</v>
      </c>
      <c r="O59" s="7">
        <v>98.0</v>
      </c>
      <c r="P59" s="7">
        <v>107.0</v>
      </c>
      <c r="Q59" s="7">
        <v>98.0</v>
      </c>
      <c r="R59" s="7">
        <v>107.0</v>
      </c>
    </row>
    <row r="60" ht="15.75" customHeight="1">
      <c r="A60" s="6" t="s">
        <v>172</v>
      </c>
      <c r="B60" s="5">
        <v>3.0</v>
      </c>
      <c r="C60" s="5">
        <v>3.5</v>
      </c>
      <c r="D60" s="5">
        <v>3.0</v>
      </c>
      <c r="E60" s="5">
        <v>4.0</v>
      </c>
      <c r="F60" s="6"/>
      <c r="G60" s="12" t="s">
        <v>156</v>
      </c>
      <c r="H60" s="2">
        <v>2.0</v>
      </c>
      <c r="I60" s="2">
        <v>5.0</v>
      </c>
      <c r="J60" s="2" t="s">
        <v>173</v>
      </c>
      <c r="K60" s="2" t="s">
        <v>28</v>
      </c>
      <c r="L60" s="2">
        <v>20.0</v>
      </c>
      <c r="M60" s="2">
        <f t="shared" si="14"/>
        <v>2.7</v>
      </c>
      <c r="N60" s="2">
        <f t="shared" si="15"/>
        <v>3.85</v>
      </c>
      <c r="O60" s="7">
        <v>2.5</v>
      </c>
      <c r="P60" s="7">
        <v>4.5</v>
      </c>
      <c r="Q60" s="7">
        <v>2.5</v>
      </c>
      <c r="R60" s="7">
        <v>4.5</v>
      </c>
    </row>
    <row r="61" ht="15.75" customHeight="1">
      <c r="A61" s="6" t="s">
        <v>174</v>
      </c>
      <c r="B61" s="5">
        <v>2.0</v>
      </c>
      <c r="C61" s="5">
        <v>2.5</v>
      </c>
      <c r="D61" s="5">
        <v>2.0</v>
      </c>
      <c r="E61" s="5">
        <v>2.5</v>
      </c>
      <c r="F61" s="6" t="s">
        <v>159</v>
      </c>
      <c r="G61" s="12" t="s">
        <v>156</v>
      </c>
      <c r="H61" s="2">
        <v>1.0</v>
      </c>
      <c r="I61" s="2">
        <v>4.0</v>
      </c>
      <c r="J61" s="2" t="s">
        <v>175</v>
      </c>
      <c r="K61" s="2" t="s">
        <v>28</v>
      </c>
      <c r="L61" s="2">
        <v>20.0</v>
      </c>
      <c r="M61" s="2">
        <f t="shared" si="14"/>
        <v>1.8</v>
      </c>
      <c r="N61" s="2">
        <f t="shared" si="15"/>
        <v>2.75</v>
      </c>
      <c r="O61" s="7">
        <v>1.7</v>
      </c>
      <c r="P61" s="7">
        <v>2.2</v>
      </c>
      <c r="Q61" s="7">
        <v>1.7</v>
      </c>
      <c r="R61" s="7">
        <v>2.2</v>
      </c>
    </row>
    <row r="62" ht="15.75" customHeight="1">
      <c r="A62" s="6" t="s">
        <v>176</v>
      </c>
      <c r="B62" s="5">
        <v>288.0</v>
      </c>
      <c r="C62" s="5">
        <v>292.0</v>
      </c>
      <c r="D62" s="5">
        <v>288.0</v>
      </c>
      <c r="E62" s="5">
        <v>292.0</v>
      </c>
      <c r="F62" s="6" t="s">
        <v>177</v>
      </c>
      <c r="G62" s="12" t="s">
        <v>156</v>
      </c>
      <c r="H62" s="2">
        <v>144.0</v>
      </c>
      <c r="I62" s="2">
        <v>438.0</v>
      </c>
      <c r="J62" s="2" t="s">
        <v>178</v>
      </c>
      <c r="K62" s="2" t="s">
        <v>28</v>
      </c>
      <c r="L62" s="2">
        <v>20.0</v>
      </c>
      <c r="M62" s="2">
        <f t="shared" si="14"/>
        <v>259.2</v>
      </c>
      <c r="N62" s="2">
        <f t="shared" si="15"/>
        <v>321.2</v>
      </c>
      <c r="O62" s="7">
        <v>275.0</v>
      </c>
      <c r="P62" s="7">
        <v>295.0</v>
      </c>
      <c r="Q62" s="7">
        <v>275.0</v>
      </c>
      <c r="R62" s="7">
        <v>295.0</v>
      </c>
    </row>
    <row r="63" ht="15.75" customHeight="1">
      <c r="A63" s="6" t="s">
        <v>179</v>
      </c>
      <c r="B63" s="5">
        <v>15.3</v>
      </c>
      <c r="C63" s="5">
        <v>19.1</v>
      </c>
      <c r="D63" s="5">
        <v>14.7</v>
      </c>
      <c r="E63" s="5">
        <v>18.3</v>
      </c>
      <c r="F63" s="6"/>
      <c r="G63" s="12" t="s">
        <v>156</v>
      </c>
      <c r="H63" s="2">
        <v>8.0</v>
      </c>
      <c r="I63" s="2">
        <v>29.0</v>
      </c>
      <c r="J63" s="2" t="s">
        <v>180</v>
      </c>
      <c r="K63" s="2" t="s">
        <v>28</v>
      </c>
      <c r="L63" s="2">
        <v>20.0</v>
      </c>
      <c r="M63" s="2">
        <f t="shared" si="14"/>
        <v>13.77</v>
      </c>
      <c r="N63" s="2">
        <f t="shared" si="15"/>
        <v>21.01</v>
      </c>
      <c r="O63" s="7">
        <v>1.4</v>
      </c>
      <c r="P63" s="7">
        <v>1.8</v>
      </c>
      <c r="Q63" s="7">
        <v>1.4</v>
      </c>
      <c r="R63" s="7">
        <v>1.8</v>
      </c>
    </row>
    <row r="64" ht="15.75" customHeight="1">
      <c r="A64" s="2" t="s">
        <v>181</v>
      </c>
      <c r="B64" s="7">
        <v>20.0</v>
      </c>
      <c r="C64" s="7">
        <v>370.0</v>
      </c>
      <c r="D64" s="7">
        <v>20.0</v>
      </c>
      <c r="E64" s="7">
        <v>320.0</v>
      </c>
      <c r="F64" s="6" t="s">
        <v>159</v>
      </c>
      <c r="G64" s="12" t="s">
        <v>156</v>
      </c>
      <c r="H64" s="2">
        <v>10.0</v>
      </c>
      <c r="I64" s="2">
        <v>555.0</v>
      </c>
      <c r="J64" s="2" t="s">
        <v>182</v>
      </c>
      <c r="K64" s="2" t="s">
        <v>21</v>
      </c>
      <c r="L64" s="2">
        <v>10.0</v>
      </c>
      <c r="M64" s="2">
        <f t="shared" si="14"/>
        <v>18</v>
      </c>
      <c r="N64" s="2">
        <f t="shared" si="15"/>
        <v>407</v>
      </c>
      <c r="O64" s="7">
        <v>20.0</v>
      </c>
      <c r="P64" s="7">
        <v>370.0</v>
      </c>
      <c r="Q64" s="7">
        <v>20.0</v>
      </c>
      <c r="R64" s="7">
        <v>320.0</v>
      </c>
    </row>
    <row r="65" ht="15.75" customHeight="1">
      <c r="A65" s="6" t="s">
        <v>183</v>
      </c>
      <c r="B65" s="5">
        <v>0.5</v>
      </c>
      <c r="C65" s="5">
        <v>0.8</v>
      </c>
      <c r="D65" s="5">
        <v>0.5</v>
      </c>
      <c r="E65" s="5">
        <v>0.8</v>
      </c>
      <c r="F65" s="6" t="s">
        <v>71</v>
      </c>
      <c r="G65" s="2" t="s">
        <v>184</v>
      </c>
      <c r="H65" s="2">
        <v>0.0</v>
      </c>
      <c r="I65" s="2">
        <v>1.0</v>
      </c>
      <c r="J65" s="2" t="s">
        <v>185</v>
      </c>
      <c r="K65" s="2" t="s">
        <v>21</v>
      </c>
      <c r="L65" s="2">
        <v>10.0</v>
      </c>
      <c r="M65" s="2">
        <f t="shared" si="14"/>
        <v>0.45</v>
      </c>
      <c r="N65" s="2">
        <f t="shared" si="15"/>
        <v>0.88</v>
      </c>
      <c r="O65" s="7">
        <v>0.1</v>
      </c>
      <c r="P65" s="7">
        <v>1.2</v>
      </c>
      <c r="Q65" s="7">
        <v>0.1</v>
      </c>
      <c r="R65" s="7">
        <v>1.2</v>
      </c>
    </row>
    <row r="66" ht="15.75" customHeight="1">
      <c r="A66" s="6" t="s">
        <v>186</v>
      </c>
      <c r="B66" s="5">
        <v>0.0</v>
      </c>
      <c r="C66" s="5">
        <v>30.0</v>
      </c>
      <c r="D66" s="5">
        <v>0.0</v>
      </c>
      <c r="E66" s="5">
        <v>30.0</v>
      </c>
      <c r="F66" s="6"/>
      <c r="G66" s="2" t="s">
        <v>184</v>
      </c>
      <c r="H66" s="2">
        <v>0.0</v>
      </c>
      <c r="I66" s="2">
        <v>45.0</v>
      </c>
      <c r="J66" s="2" t="s">
        <v>187</v>
      </c>
      <c r="K66" s="2" t="s">
        <v>21</v>
      </c>
      <c r="L66" s="2">
        <v>10.0</v>
      </c>
      <c r="M66" s="2">
        <f t="shared" si="14"/>
        <v>0</v>
      </c>
      <c r="N66" s="2">
        <f t="shared" si="15"/>
        <v>33</v>
      </c>
      <c r="O66" s="5">
        <v>0.0</v>
      </c>
      <c r="P66" s="8">
        <v>50.0</v>
      </c>
      <c r="Q66" s="5">
        <v>0.0</v>
      </c>
      <c r="R66" s="8">
        <v>50.0</v>
      </c>
    </row>
    <row r="67" ht="15.75" customHeight="1">
      <c r="A67" s="6" t="s">
        <v>188</v>
      </c>
      <c r="B67" s="5">
        <v>13.0</v>
      </c>
      <c r="C67" s="5">
        <v>22.0</v>
      </c>
      <c r="D67" s="5">
        <v>10.0</v>
      </c>
      <c r="E67" s="5">
        <v>19.0</v>
      </c>
      <c r="F67" s="6" t="s">
        <v>100</v>
      </c>
      <c r="G67" s="2" t="s">
        <v>184</v>
      </c>
      <c r="H67" s="2">
        <v>7.0</v>
      </c>
      <c r="I67" s="2">
        <v>33.0</v>
      </c>
      <c r="J67" s="2" t="s">
        <v>189</v>
      </c>
      <c r="K67" s="2" t="s">
        <v>21</v>
      </c>
      <c r="L67" s="2">
        <v>15.0</v>
      </c>
      <c r="M67" s="2">
        <f t="shared" si="14"/>
        <v>11.7</v>
      </c>
      <c r="N67" s="2">
        <f>C67+(0.15*C67)</f>
        <v>25.3</v>
      </c>
      <c r="O67" s="7">
        <v>7.0</v>
      </c>
      <c r="P67" s="7">
        <v>55.0</v>
      </c>
      <c r="Q67" s="7">
        <v>7.0</v>
      </c>
      <c r="R67" s="7">
        <v>45.0</v>
      </c>
    </row>
    <row r="68" ht="15.75" customHeight="1">
      <c r="A68" s="6" t="s">
        <v>190</v>
      </c>
      <c r="B68" s="5">
        <v>12.0</v>
      </c>
      <c r="C68" s="5">
        <v>26.0</v>
      </c>
      <c r="D68" s="5">
        <v>9.0</v>
      </c>
      <c r="E68" s="5">
        <v>21.0</v>
      </c>
      <c r="F68" s="6" t="s">
        <v>100</v>
      </c>
      <c r="G68" s="2" t="s">
        <v>184</v>
      </c>
      <c r="H68" s="2">
        <v>6.0</v>
      </c>
      <c r="I68" s="2">
        <v>39.0</v>
      </c>
      <c r="J68" s="2" t="s">
        <v>191</v>
      </c>
      <c r="K68" s="2" t="s">
        <v>28</v>
      </c>
      <c r="L68" s="2">
        <v>20.0</v>
      </c>
      <c r="M68" s="2">
        <f t="shared" si="14"/>
        <v>10.8</v>
      </c>
      <c r="N68" s="2">
        <f>C68+(0.1*C68)</f>
        <v>28.6</v>
      </c>
      <c r="O68" s="7">
        <v>8.0</v>
      </c>
      <c r="P68" s="7">
        <v>48.0</v>
      </c>
      <c r="Q68" s="7">
        <v>8.0</v>
      </c>
      <c r="R68" s="7">
        <v>48.0</v>
      </c>
    </row>
    <row r="69" ht="15.75" customHeight="1">
      <c r="A69" s="6" t="s">
        <v>192</v>
      </c>
      <c r="B69" s="5">
        <v>65.0</v>
      </c>
      <c r="C69" s="5">
        <v>90.0</v>
      </c>
      <c r="D69" s="5">
        <v>65.0</v>
      </c>
      <c r="E69" s="5">
        <v>90.0</v>
      </c>
      <c r="F69" s="6" t="s">
        <v>100</v>
      </c>
      <c r="G69" s="2" t="s">
        <v>184</v>
      </c>
      <c r="H69" s="2">
        <v>33.0</v>
      </c>
      <c r="I69" s="2">
        <v>135.0</v>
      </c>
      <c r="J69" s="2" t="s">
        <v>193</v>
      </c>
      <c r="K69" s="2" t="s">
        <v>28</v>
      </c>
      <c r="L69" s="2">
        <v>10.0</v>
      </c>
      <c r="M69" s="2">
        <f>B69-(0.2*B69)</f>
        <v>52</v>
      </c>
      <c r="N69" s="2">
        <f>C69+(0.2*C69)</f>
        <v>108</v>
      </c>
      <c r="O69" s="7">
        <v>44.0</v>
      </c>
      <c r="P69" s="7">
        <v>147.0</v>
      </c>
      <c r="Q69" s="7">
        <v>44.0</v>
      </c>
      <c r="R69" s="7">
        <v>147.0</v>
      </c>
    </row>
    <row r="70" ht="15.75" customHeight="1">
      <c r="A70" s="6" t="s">
        <v>194</v>
      </c>
      <c r="B70" s="5">
        <v>6.4</v>
      </c>
      <c r="C70" s="5">
        <v>8.0</v>
      </c>
      <c r="D70" s="5">
        <v>6.4</v>
      </c>
      <c r="E70" s="5">
        <v>8.0</v>
      </c>
      <c r="F70" s="6" t="s">
        <v>36</v>
      </c>
      <c r="G70" s="2" t="s">
        <v>184</v>
      </c>
      <c r="H70" s="2">
        <v>3.0</v>
      </c>
      <c r="I70" s="2">
        <v>12.0</v>
      </c>
      <c r="J70" s="2" t="s">
        <v>195</v>
      </c>
      <c r="K70" s="2" t="s">
        <v>28</v>
      </c>
      <c r="L70" s="2">
        <v>20.0</v>
      </c>
      <c r="M70" s="2">
        <f t="shared" ref="M70:M77" si="16">B70-(0.1*B70)</f>
        <v>5.76</v>
      </c>
      <c r="N70" s="2">
        <f t="shared" ref="N70:N77" si="17">C70+(0.1*C70)</f>
        <v>8.8</v>
      </c>
      <c r="O70" s="7">
        <v>6.0</v>
      </c>
      <c r="P70" s="7">
        <v>8.3</v>
      </c>
      <c r="Q70" s="7">
        <v>6.0</v>
      </c>
      <c r="R70" s="7">
        <v>8.3</v>
      </c>
    </row>
    <row r="71" ht="15.75" customHeight="1">
      <c r="A71" s="6" t="s">
        <v>196</v>
      </c>
      <c r="B71" s="5">
        <v>4.5</v>
      </c>
      <c r="C71" s="5">
        <v>5.0</v>
      </c>
      <c r="D71" s="5">
        <v>4.5</v>
      </c>
      <c r="E71" s="5">
        <v>5.0</v>
      </c>
      <c r="F71" s="6" t="s">
        <v>36</v>
      </c>
      <c r="G71" s="2" t="s">
        <v>184</v>
      </c>
      <c r="H71" s="2">
        <v>2.0</v>
      </c>
      <c r="I71" s="2">
        <v>8.0</v>
      </c>
      <c r="J71" s="2" t="s">
        <v>197</v>
      </c>
      <c r="K71" s="2" t="s">
        <v>28</v>
      </c>
      <c r="L71" s="2">
        <v>20.0</v>
      </c>
      <c r="M71" s="2">
        <f t="shared" si="16"/>
        <v>4.05</v>
      </c>
      <c r="N71" s="2">
        <f t="shared" si="17"/>
        <v>5.5</v>
      </c>
      <c r="O71" s="7">
        <v>3.4</v>
      </c>
      <c r="P71" s="7">
        <v>5.4</v>
      </c>
      <c r="Q71" s="7">
        <v>3.4</v>
      </c>
      <c r="R71" s="7">
        <v>5.4</v>
      </c>
    </row>
    <row r="72" ht="15.75" customHeight="1">
      <c r="A72" s="6" t="s">
        <v>198</v>
      </c>
      <c r="B72" s="5">
        <v>1.9</v>
      </c>
      <c r="C72" s="5">
        <v>3.0</v>
      </c>
      <c r="D72" s="5">
        <v>1.9</v>
      </c>
      <c r="E72" s="5">
        <v>3.0</v>
      </c>
      <c r="F72" s="6" t="s">
        <v>36</v>
      </c>
      <c r="G72" s="2" t="s">
        <v>184</v>
      </c>
      <c r="H72" s="2">
        <v>1.0</v>
      </c>
      <c r="I72" s="2">
        <v>5.0</v>
      </c>
      <c r="J72" s="2" t="s">
        <v>199</v>
      </c>
      <c r="K72" s="2" t="s">
        <v>28</v>
      </c>
      <c r="L72" s="2">
        <v>20.0</v>
      </c>
      <c r="M72" s="2">
        <f t="shared" si="16"/>
        <v>1.71</v>
      </c>
      <c r="N72" s="2">
        <f t="shared" si="17"/>
        <v>3.3</v>
      </c>
      <c r="O72" s="7">
        <v>2.0</v>
      </c>
      <c r="P72" s="7">
        <v>3.5</v>
      </c>
      <c r="Q72" s="7">
        <v>2.0</v>
      </c>
      <c r="R72" s="7">
        <v>3.5</v>
      </c>
    </row>
    <row r="73" ht="15.75" customHeight="1">
      <c r="A73" s="6" t="s">
        <v>200</v>
      </c>
      <c r="B73" s="5">
        <v>12.0</v>
      </c>
      <c r="C73" s="5">
        <v>24.0</v>
      </c>
      <c r="D73" s="5">
        <v>10.0</v>
      </c>
      <c r="E73" s="5">
        <v>22.0</v>
      </c>
      <c r="F73" s="9" t="s">
        <v>142</v>
      </c>
      <c r="G73" s="2" t="s">
        <v>184</v>
      </c>
      <c r="H73" s="2">
        <v>6.0</v>
      </c>
      <c r="I73" s="2">
        <v>36.0</v>
      </c>
      <c r="J73" s="2" t="s">
        <v>201</v>
      </c>
      <c r="K73" s="2" t="s">
        <v>28</v>
      </c>
      <c r="L73" s="2">
        <v>20.0</v>
      </c>
      <c r="M73" s="2">
        <f t="shared" si="16"/>
        <v>10.8</v>
      </c>
      <c r="N73" s="2">
        <f t="shared" si="17"/>
        <v>26.4</v>
      </c>
      <c r="O73" s="7">
        <v>9.0</v>
      </c>
      <c r="P73" s="7">
        <v>48.0</v>
      </c>
      <c r="Q73" s="7">
        <v>9.0</v>
      </c>
      <c r="R73" s="7">
        <v>35.0</v>
      </c>
    </row>
    <row r="74" ht="15.75" customHeight="1">
      <c r="A74" s="9" t="s">
        <v>202</v>
      </c>
      <c r="B74" s="8">
        <v>80.0</v>
      </c>
      <c r="C74" s="8">
        <v>200.0</v>
      </c>
      <c r="D74" s="8">
        <v>80.0</v>
      </c>
      <c r="E74" s="8">
        <v>200.0</v>
      </c>
      <c r="F74" s="6" t="s">
        <v>103</v>
      </c>
      <c r="G74" s="2" t="s">
        <v>203</v>
      </c>
      <c r="J74" s="2" t="s">
        <v>204</v>
      </c>
      <c r="K74" s="2" t="s">
        <v>28</v>
      </c>
      <c r="L74" s="2">
        <v>60.0</v>
      </c>
      <c r="M74" s="2">
        <f t="shared" si="16"/>
        <v>72</v>
      </c>
      <c r="N74" s="2">
        <f t="shared" si="17"/>
        <v>220</v>
      </c>
      <c r="O74" s="7">
        <v>80.0</v>
      </c>
      <c r="P74" s="7">
        <v>200.0</v>
      </c>
      <c r="Q74" s="7">
        <v>80.0</v>
      </c>
      <c r="R74" s="7">
        <v>200.0</v>
      </c>
    </row>
    <row r="75" ht="15.75" customHeight="1">
      <c r="A75" s="6" t="s">
        <v>205</v>
      </c>
      <c r="B75" s="5">
        <v>3.25</v>
      </c>
      <c r="C75" s="5">
        <v>4.55</v>
      </c>
      <c r="D75" s="5">
        <v>3.25</v>
      </c>
      <c r="E75" s="5">
        <v>4.55</v>
      </c>
      <c r="F75" s="9" t="s">
        <v>33</v>
      </c>
      <c r="G75" s="2" t="s">
        <v>203</v>
      </c>
      <c r="H75" s="2">
        <v>2.0</v>
      </c>
      <c r="I75" s="2">
        <v>7.0</v>
      </c>
      <c r="J75" s="2" t="s">
        <v>204</v>
      </c>
      <c r="K75" s="2" t="s">
        <v>28</v>
      </c>
      <c r="L75" s="2">
        <v>60.0</v>
      </c>
      <c r="M75" s="2">
        <f t="shared" si="16"/>
        <v>2.925</v>
      </c>
      <c r="N75" s="2">
        <f t="shared" si="17"/>
        <v>5.005</v>
      </c>
      <c r="O75" s="7">
        <v>2.3</v>
      </c>
      <c r="P75" s="7">
        <v>4.2</v>
      </c>
      <c r="Q75" s="7">
        <v>2.3</v>
      </c>
      <c r="R75" s="7">
        <v>4.2</v>
      </c>
    </row>
    <row r="76" ht="15.75" customHeight="1">
      <c r="A76" s="9" t="s">
        <v>206</v>
      </c>
      <c r="B76" s="8">
        <v>4.5</v>
      </c>
      <c r="C76" s="8">
        <v>12.5</v>
      </c>
      <c r="D76" s="8">
        <v>4.5</v>
      </c>
      <c r="E76" s="8">
        <v>12.5</v>
      </c>
      <c r="F76" s="9" t="s">
        <v>207</v>
      </c>
      <c r="G76" s="2" t="s">
        <v>203</v>
      </c>
      <c r="J76" s="2" t="s">
        <v>208</v>
      </c>
      <c r="K76" s="2" t="s">
        <v>28</v>
      </c>
      <c r="L76" s="2">
        <v>60.0</v>
      </c>
      <c r="M76" s="2">
        <f t="shared" si="16"/>
        <v>4.05</v>
      </c>
      <c r="N76" s="2">
        <f t="shared" si="17"/>
        <v>13.75</v>
      </c>
      <c r="O76" s="7">
        <v>5.0</v>
      </c>
      <c r="P76" s="7">
        <v>12.0</v>
      </c>
      <c r="Q76" s="7">
        <v>5.0</v>
      </c>
      <c r="R76" s="7">
        <v>12.0</v>
      </c>
    </row>
    <row r="77" ht="15.75" customHeight="1">
      <c r="A77" s="6" t="s">
        <v>209</v>
      </c>
      <c r="B77" s="5">
        <v>1.16</v>
      </c>
      <c r="C77" s="5">
        <v>1.78</v>
      </c>
      <c r="D77" s="5">
        <v>1.16</v>
      </c>
      <c r="E77" s="5">
        <v>1.78</v>
      </c>
      <c r="F77" s="6" t="s">
        <v>103</v>
      </c>
      <c r="G77" s="2" t="s">
        <v>203</v>
      </c>
      <c r="H77" s="2">
        <v>1.0</v>
      </c>
      <c r="I77" s="2">
        <v>3.0</v>
      </c>
      <c r="J77" s="2" t="s">
        <v>208</v>
      </c>
      <c r="K77" s="2" t="s">
        <v>28</v>
      </c>
      <c r="L77" s="2">
        <v>60.0</v>
      </c>
      <c r="M77" s="2">
        <f t="shared" si="16"/>
        <v>1.044</v>
      </c>
      <c r="N77" s="2">
        <f t="shared" si="17"/>
        <v>1.958</v>
      </c>
      <c r="O77" s="7">
        <v>0.8</v>
      </c>
      <c r="P77" s="7">
        <v>1.8</v>
      </c>
      <c r="Q77" s="7">
        <v>0.8</v>
      </c>
      <c r="R77" s="7">
        <v>1.8</v>
      </c>
    </row>
    <row r="78" ht="15.75" customHeight="1">
      <c r="A78" s="6" t="s">
        <v>210</v>
      </c>
      <c r="B78" s="5">
        <v>0.5</v>
      </c>
      <c r="C78" s="5">
        <v>2.0</v>
      </c>
      <c r="D78" s="5">
        <v>0.5</v>
      </c>
      <c r="E78" s="5">
        <v>2.0</v>
      </c>
      <c r="F78" s="6" t="s">
        <v>64</v>
      </c>
      <c r="G78" s="2" t="s">
        <v>203</v>
      </c>
      <c r="H78" s="2">
        <v>0.0</v>
      </c>
      <c r="I78" s="2">
        <v>3.0</v>
      </c>
      <c r="J78" s="2" t="s">
        <v>211</v>
      </c>
      <c r="K78" s="2" t="s">
        <v>21</v>
      </c>
      <c r="L78" s="2">
        <v>60.0</v>
      </c>
      <c r="M78" s="2">
        <f>B78-(0.5*B78)</f>
        <v>0.25</v>
      </c>
      <c r="N78" s="2">
        <f>C78+(0.5*C78)</f>
        <v>3</v>
      </c>
      <c r="O78" s="7">
        <v>0.4</v>
      </c>
      <c r="P78" s="7">
        <v>4.0</v>
      </c>
      <c r="Q78" s="7">
        <v>0.4</v>
      </c>
      <c r="R78" s="7">
        <v>4.0</v>
      </c>
    </row>
    <row r="79" ht="15.75" customHeight="1">
      <c r="A79" s="9" t="s">
        <v>212</v>
      </c>
      <c r="B79" s="5">
        <v>90.0</v>
      </c>
      <c r="C79" s="5">
        <v>140.0</v>
      </c>
      <c r="D79" s="5">
        <v>90.0</v>
      </c>
      <c r="E79" s="5">
        <v>140.0</v>
      </c>
      <c r="F79" s="6" t="s">
        <v>213</v>
      </c>
      <c r="G79" s="2" t="s">
        <v>203</v>
      </c>
      <c r="H79" s="2">
        <v>45.0</v>
      </c>
      <c r="I79" s="2">
        <v>210.0</v>
      </c>
      <c r="J79" s="2" t="s">
        <v>214</v>
      </c>
      <c r="K79" s="2" t="s">
        <v>28</v>
      </c>
      <c r="L79" s="2">
        <v>20.0</v>
      </c>
      <c r="M79" s="2">
        <f>B79-(0.1*B79)</f>
        <v>81</v>
      </c>
      <c r="N79" s="2">
        <f t="shared" ref="N79:N97" si="18">C79+(0.1*C79)</f>
        <v>154</v>
      </c>
      <c r="O79" s="7">
        <v>70.0</v>
      </c>
      <c r="P79" s="7">
        <v>150.0</v>
      </c>
      <c r="Q79" s="7">
        <v>70.0</v>
      </c>
      <c r="R79" s="7">
        <v>150.0</v>
      </c>
    </row>
    <row r="80" ht="15.75" customHeight="1">
      <c r="A80" s="6" t="s">
        <v>215</v>
      </c>
      <c r="B80" s="5">
        <v>50.0</v>
      </c>
      <c r="C80" s="5">
        <v>60.0</v>
      </c>
      <c r="D80" s="5">
        <v>50.0</v>
      </c>
      <c r="E80" s="5">
        <v>60.0</v>
      </c>
      <c r="F80" s="6" t="s">
        <v>91</v>
      </c>
      <c r="G80" s="2" t="s">
        <v>216</v>
      </c>
      <c r="H80" s="2">
        <v>25.0</v>
      </c>
      <c r="I80" s="2">
        <v>90.0</v>
      </c>
      <c r="J80" s="2" t="s">
        <v>217</v>
      </c>
      <c r="K80" s="2" t="s">
        <v>21</v>
      </c>
      <c r="L80" s="2">
        <v>30.0</v>
      </c>
      <c r="M80" s="2">
        <f>B80-(0.3*B80)</f>
        <v>35</v>
      </c>
      <c r="N80" s="2">
        <f t="shared" si="18"/>
        <v>66</v>
      </c>
      <c r="O80" s="7">
        <v>30.0</v>
      </c>
      <c r="P80" s="7">
        <v>100.0</v>
      </c>
      <c r="Q80" s="7">
        <v>30.0</v>
      </c>
      <c r="R80" s="7">
        <v>100.0</v>
      </c>
    </row>
    <row r="81" ht="15.75" customHeight="1">
      <c r="A81" s="9" t="s">
        <v>218</v>
      </c>
      <c r="B81" s="5">
        <v>400.0</v>
      </c>
      <c r="C81" s="5">
        <v>800.0</v>
      </c>
      <c r="D81" s="5">
        <v>400.0</v>
      </c>
      <c r="E81" s="5">
        <v>800.0</v>
      </c>
      <c r="F81" s="6" t="s">
        <v>219</v>
      </c>
      <c r="G81" s="2" t="s">
        <v>216</v>
      </c>
      <c r="H81" s="2">
        <v>200.0</v>
      </c>
      <c r="I81" s="2">
        <v>1200.0</v>
      </c>
      <c r="J81" s="2" t="s">
        <v>220</v>
      </c>
      <c r="K81" s="2" t="s">
        <v>21</v>
      </c>
      <c r="L81" s="2">
        <v>40.0</v>
      </c>
      <c r="M81" s="2">
        <f t="shared" ref="M81:M97" si="19">B81-(0.4*B81)</f>
        <v>240</v>
      </c>
      <c r="N81" s="2">
        <f t="shared" si="18"/>
        <v>880</v>
      </c>
      <c r="O81" s="7">
        <v>200.0</v>
      </c>
      <c r="P81" s="7">
        <v>900.0</v>
      </c>
      <c r="Q81" s="7">
        <v>200.0</v>
      </c>
      <c r="R81" s="7">
        <v>900.0</v>
      </c>
    </row>
    <row r="82" ht="15.75" customHeight="1">
      <c r="A82" s="2" t="s">
        <v>221</v>
      </c>
      <c r="B82" s="7">
        <v>0.0</v>
      </c>
      <c r="C82" s="7">
        <v>50.0</v>
      </c>
      <c r="D82" s="7">
        <v>0.0</v>
      </c>
      <c r="E82" s="7">
        <v>50.0</v>
      </c>
      <c r="F82" s="2" t="s">
        <v>222</v>
      </c>
      <c r="G82" s="2" t="s">
        <v>223</v>
      </c>
      <c r="H82" s="2">
        <v>0.0</v>
      </c>
      <c r="I82" s="2">
        <v>100.0</v>
      </c>
      <c r="J82" s="2" t="s">
        <v>224</v>
      </c>
      <c r="K82" s="2" t="s">
        <v>21</v>
      </c>
      <c r="L82" s="2">
        <v>15.0</v>
      </c>
      <c r="M82" s="2">
        <f t="shared" si="19"/>
        <v>0</v>
      </c>
      <c r="N82" s="2">
        <f t="shared" si="18"/>
        <v>55</v>
      </c>
      <c r="O82" s="7">
        <v>0.0</v>
      </c>
      <c r="P82" s="7">
        <v>50.0</v>
      </c>
      <c r="Q82" s="7">
        <v>0.0</v>
      </c>
      <c r="R82" s="7">
        <v>50.0</v>
      </c>
    </row>
    <row r="83" ht="15.75" customHeight="1">
      <c r="A83" s="2" t="s">
        <v>225</v>
      </c>
      <c r="B83" s="7">
        <v>0.0</v>
      </c>
      <c r="C83" s="7">
        <v>10.0</v>
      </c>
      <c r="D83" s="7">
        <v>0.0</v>
      </c>
      <c r="E83" s="7">
        <v>10.0</v>
      </c>
      <c r="F83" s="2" t="s">
        <v>222</v>
      </c>
      <c r="G83" s="2" t="s">
        <v>223</v>
      </c>
      <c r="H83" s="2">
        <v>0.0</v>
      </c>
      <c r="I83" s="2">
        <v>20.0</v>
      </c>
      <c r="J83" s="2" t="s">
        <v>226</v>
      </c>
      <c r="K83" s="2" t="s">
        <v>28</v>
      </c>
      <c r="L83" s="2">
        <v>5.0</v>
      </c>
      <c r="M83" s="2">
        <f t="shared" si="19"/>
        <v>0</v>
      </c>
      <c r="N83" s="2">
        <f t="shared" si="18"/>
        <v>11</v>
      </c>
      <c r="O83" s="7">
        <v>0.0</v>
      </c>
      <c r="P83" s="7">
        <v>10.0</v>
      </c>
      <c r="Q83" s="7">
        <v>0.0</v>
      </c>
      <c r="R83" s="7">
        <v>10.0</v>
      </c>
    </row>
    <row r="84" ht="15.75" customHeight="1">
      <c r="A84" s="2" t="s">
        <v>227</v>
      </c>
      <c r="B84" s="7">
        <v>0.0</v>
      </c>
      <c r="C84" s="7">
        <v>10.0</v>
      </c>
      <c r="D84" s="7">
        <v>0.0</v>
      </c>
      <c r="E84" s="7">
        <v>10.0</v>
      </c>
      <c r="F84" s="2" t="s">
        <v>222</v>
      </c>
      <c r="G84" s="2" t="s">
        <v>223</v>
      </c>
      <c r="H84" s="2">
        <v>0.0</v>
      </c>
      <c r="I84" s="2">
        <v>20.0</v>
      </c>
      <c r="J84" s="2" t="s">
        <v>228</v>
      </c>
      <c r="K84" s="2" t="s">
        <v>28</v>
      </c>
      <c r="L84" s="2">
        <v>5.0</v>
      </c>
      <c r="M84" s="2">
        <f t="shared" si="19"/>
        <v>0</v>
      </c>
      <c r="N84" s="2">
        <f t="shared" si="18"/>
        <v>11</v>
      </c>
      <c r="O84" s="7">
        <v>0.0</v>
      </c>
      <c r="P84" s="7">
        <v>10.0</v>
      </c>
      <c r="Q84" s="7">
        <v>0.0</v>
      </c>
      <c r="R84" s="7">
        <v>10.0</v>
      </c>
    </row>
    <row r="85" ht="15.75" customHeight="1">
      <c r="A85" s="2" t="s">
        <v>229</v>
      </c>
      <c r="B85" s="7">
        <v>0.0</v>
      </c>
      <c r="C85" s="7">
        <v>5.0</v>
      </c>
      <c r="D85" s="7">
        <v>0.0</v>
      </c>
      <c r="E85" s="7">
        <v>5.0</v>
      </c>
      <c r="F85" s="2" t="s">
        <v>222</v>
      </c>
      <c r="G85" s="2" t="s">
        <v>223</v>
      </c>
      <c r="H85" s="2">
        <v>0.0</v>
      </c>
      <c r="I85" s="2">
        <v>10.0</v>
      </c>
      <c r="J85" s="2" t="s">
        <v>230</v>
      </c>
      <c r="K85" s="2" t="s">
        <v>21</v>
      </c>
      <c r="L85" s="2">
        <v>15.0</v>
      </c>
      <c r="M85" s="2">
        <f t="shared" si="19"/>
        <v>0</v>
      </c>
      <c r="N85" s="2">
        <f t="shared" si="18"/>
        <v>5.5</v>
      </c>
      <c r="O85" s="7">
        <v>0.0</v>
      </c>
      <c r="P85" s="7">
        <v>5.0</v>
      </c>
      <c r="Q85" s="7">
        <v>0.0</v>
      </c>
      <c r="R85" s="7">
        <v>5.0</v>
      </c>
    </row>
    <row r="86" ht="15.75" customHeight="1">
      <c r="A86" s="2" t="s">
        <v>231</v>
      </c>
      <c r="B86" s="7">
        <v>0.0</v>
      </c>
      <c r="C86" s="7">
        <v>15.0</v>
      </c>
      <c r="D86" s="7">
        <v>0.0</v>
      </c>
      <c r="E86" s="7">
        <v>15.0</v>
      </c>
      <c r="F86" s="2" t="s">
        <v>222</v>
      </c>
      <c r="G86" s="2" t="s">
        <v>223</v>
      </c>
      <c r="H86" s="2">
        <v>0.0</v>
      </c>
      <c r="I86" s="2">
        <v>30.0</v>
      </c>
      <c r="J86" s="2" t="s">
        <v>232</v>
      </c>
      <c r="K86" s="2" t="s">
        <v>28</v>
      </c>
      <c r="L86" s="2">
        <v>5.0</v>
      </c>
      <c r="M86" s="2">
        <f t="shared" si="19"/>
        <v>0</v>
      </c>
      <c r="N86" s="2">
        <f t="shared" si="18"/>
        <v>16.5</v>
      </c>
      <c r="O86" s="7">
        <v>0.0</v>
      </c>
      <c r="P86" s="7">
        <v>15.0</v>
      </c>
      <c r="Q86" s="7">
        <v>0.0</v>
      </c>
      <c r="R86" s="7">
        <v>15.0</v>
      </c>
    </row>
    <row r="87" ht="15.75" customHeight="1">
      <c r="A87" s="2" t="s">
        <v>233</v>
      </c>
      <c r="B87" s="7">
        <v>0.0</v>
      </c>
      <c r="C87" s="7">
        <v>2.0</v>
      </c>
      <c r="D87" s="7">
        <v>0.0</v>
      </c>
      <c r="E87" s="7">
        <v>2.0</v>
      </c>
      <c r="F87" s="2" t="s">
        <v>222</v>
      </c>
      <c r="G87" s="2" t="s">
        <v>223</v>
      </c>
      <c r="H87" s="2">
        <v>0.0</v>
      </c>
      <c r="I87" s="2">
        <v>5.0</v>
      </c>
      <c r="J87" s="2" t="s">
        <v>234</v>
      </c>
      <c r="K87" s="2" t="s">
        <v>28</v>
      </c>
      <c r="L87" s="2">
        <v>5.0</v>
      </c>
      <c r="M87" s="2">
        <f t="shared" si="19"/>
        <v>0</v>
      </c>
      <c r="N87" s="2">
        <f t="shared" si="18"/>
        <v>2.2</v>
      </c>
      <c r="O87" s="7">
        <v>0.0</v>
      </c>
      <c r="P87" s="7">
        <v>2.0</v>
      </c>
      <c r="Q87" s="7">
        <v>0.0</v>
      </c>
      <c r="R87" s="7">
        <v>2.0</v>
      </c>
    </row>
    <row r="88" ht="15.75" customHeight="1">
      <c r="A88" s="2" t="s">
        <v>235</v>
      </c>
      <c r="B88" s="7">
        <v>0.0</v>
      </c>
      <c r="C88" s="7">
        <v>6.0</v>
      </c>
      <c r="D88" s="7">
        <v>0.0</v>
      </c>
      <c r="E88" s="7">
        <v>6.0</v>
      </c>
      <c r="F88" s="2" t="s">
        <v>222</v>
      </c>
      <c r="G88" s="2" t="s">
        <v>223</v>
      </c>
      <c r="H88" s="2">
        <v>0.0</v>
      </c>
      <c r="I88" s="2">
        <v>10.0</v>
      </c>
      <c r="J88" s="2" t="s">
        <v>236</v>
      </c>
      <c r="K88" s="2" t="s">
        <v>28</v>
      </c>
      <c r="L88" s="2">
        <v>5.0</v>
      </c>
      <c r="M88" s="2">
        <f t="shared" si="19"/>
        <v>0</v>
      </c>
      <c r="N88" s="2">
        <f t="shared" si="18"/>
        <v>6.6</v>
      </c>
      <c r="O88" s="7">
        <v>0.0</v>
      </c>
      <c r="P88" s="7">
        <v>6.0</v>
      </c>
      <c r="Q88" s="7">
        <v>0.0</v>
      </c>
      <c r="R88" s="7">
        <v>6.0</v>
      </c>
    </row>
    <row r="89" ht="15.75" customHeight="1">
      <c r="A89" s="2" t="s">
        <v>237</v>
      </c>
      <c r="B89" s="7">
        <v>0.0</v>
      </c>
      <c r="C89" s="7">
        <v>1.0</v>
      </c>
      <c r="D89" s="7">
        <v>0.0</v>
      </c>
      <c r="E89" s="7">
        <v>1.0</v>
      </c>
      <c r="F89" s="2" t="s">
        <v>222</v>
      </c>
      <c r="G89" s="2" t="s">
        <v>223</v>
      </c>
      <c r="H89" s="2">
        <v>0.0</v>
      </c>
      <c r="I89" s="2">
        <v>2.0</v>
      </c>
      <c r="J89" s="2" t="s">
        <v>238</v>
      </c>
      <c r="K89" s="2" t="s">
        <v>28</v>
      </c>
      <c r="L89" s="2">
        <v>30.0</v>
      </c>
      <c r="M89" s="2">
        <f t="shared" si="19"/>
        <v>0</v>
      </c>
      <c r="N89" s="2">
        <f t="shared" si="18"/>
        <v>1.1</v>
      </c>
      <c r="O89" s="7">
        <v>0.0</v>
      </c>
      <c r="P89" s="7">
        <v>1.0</v>
      </c>
      <c r="Q89" s="7">
        <v>0.0</v>
      </c>
      <c r="R89" s="7">
        <v>1.0</v>
      </c>
    </row>
    <row r="90" ht="15.75" customHeight="1">
      <c r="A90" s="2" t="s">
        <v>239</v>
      </c>
      <c r="B90" s="7">
        <v>0.0</v>
      </c>
      <c r="C90" s="7">
        <v>0.1</v>
      </c>
      <c r="D90" s="7">
        <v>0.0</v>
      </c>
      <c r="E90" s="7">
        <v>0.1</v>
      </c>
      <c r="F90" s="2" t="s">
        <v>222</v>
      </c>
      <c r="G90" s="2" t="s">
        <v>223</v>
      </c>
      <c r="H90" s="2">
        <v>0.0</v>
      </c>
      <c r="I90" s="2">
        <v>0.2</v>
      </c>
      <c r="J90" s="2" t="s">
        <v>240</v>
      </c>
      <c r="K90" s="2" t="s">
        <v>28</v>
      </c>
      <c r="L90" s="2">
        <v>5.0</v>
      </c>
      <c r="M90" s="2">
        <f t="shared" si="19"/>
        <v>0</v>
      </c>
      <c r="N90" s="2">
        <f t="shared" si="18"/>
        <v>0.11</v>
      </c>
      <c r="O90" s="7">
        <v>0.0</v>
      </c>
      <c r="P90" s="7">
        <v>0.1</v>
      </c>
      <c r="Q90" s="7">
        <v>0.0</v>
      </c>
      <c r="R90" s="7">
        <v>0.1</v>
      </c>
    </row>
    <row r="91" ht="15.75" customHeight="1">
      <c r="A91" s="2" t="s">
        <v>241</v>
      </c>
      <c r="B91" s="7">
        <v>0.0</v>
      </c>
      <c r="C91" s="7">
        <v>10.0</v>
      </c>
      <c r="D91" s="7">
        <v>0.0</v>
      </c>
      <c r="E91" s="7">
        <v>10.0</v>
      </c>
      <c r="F91" s="2" t="s">
        <v>222</v>
      </c>
      <c r="G91" s="2" t="s">
        <v>223</v>
      </c>
      <c r="H91" s="2">
        <v>0.0</v>
      </c>
      <c r="I91" s="2">
        <v>20.0</v>
      </c>
      <c r="J91" s="2" t="s">
        <v>242</v>
      </c>
      <c r="K91" s="2" t="s">
        <v>28</v>
      </c>
      <c r="L91" s="2">
        <v>5.0</v>
      </c>
      <c r="M91" s="2">
        <f t="shared" si="19"/>
        <v>0</v>
      </c>
      <c r="N91" s="2">
        <f t="shared" si="18"/>
        <v>11</v>
      </c>
      <c r="O91" s="7">
        <v>0.0</v>
      </c>
      <c r="P91" s="7">
        <v>10.0</v>
      </c>
      <c r="Q91" s="7">
        <v>0.0</v>
      </c>
      <c r="R91" s="7">
        <v>10.0</v>
      </c>
    </row>
    <row r="92" ht="15.75" customHeight="1">
      <c r="A92" s="2" t="s">
        <v>243</v>
      </c>
      <c r="B92" s="7">
        <v>0.0</v>
      </c>
      <c r="C92" s="7">
        <v>6.0</v>
      </c>
      <c r="D92" s="7">
        <v>0.0</v>
      </c>
      <c r="E92" s="7">
        <v>6.0</v>
      </c>
      <c r="F92" s="2" t="s">
        <v>222</v>
      </c>
      <c r="G92" s="2" t="s">
        <v>223</v>
      </c>
      <c r="H92" s="2">
        <v>0.0</v>
      </c>
      <c r="I92" s="2">
        <v>10.0</v>
      </c>
      <c r="J92" s="2" t="s">
        <v>244</v>
      </c>
      <c r="K92" s="2" t="s">
        <v>28</v>
      </c>
      <c r="L92" s="2">
        <v>5.0</v>
      </c>
      <c r="M92" s="2">
        <f t="shared" si="19"/>
        <v>0</v>
      </c>
      <c r="N92" s="2">
        <f t="shared" si="18"/>
        <v>6.6</v>
      </c>
      <c r="O92" s="7">
        <v>0.0</v>
      </c>
      <c r="P92" s="7">
        <v>6.0</v>
      </c>
      <c r="Q92" s="7">
        <v>0.0</v>
      </c>
      <c r="R92" s="7">
        <v>6.0</v>
      </c>
    </row>
    <row r="93" ht="15.75" customHeight="1">
      <c r="A93" s="2" t="s">
        <v>245</v>
      </c>
      <c r="B93" s="7">
        <v>0.0</v>
      </c>
      <c r="C93" s="7">
        <v>5.0</v>
      </c>
      <c r="D93" s="7">
        <v>0.0</v>
      </c>
      <c r="E93" s="7">
        <v>5.0</v>
      </c>
      <c r="F93" s="2" t="s">
        <v>222</v>
      </c>
      <c r="G93" s="2" t="s">
        <v>223</v>
      </c>
      <c r="H93" s="2">
        <v>0.0</v>
      </c>
      <c r="I93" s="2">
        <v>10.0</v>
      </c>
      <c r="J93" s="2" t="s">
        <v>246</v>
      </c>
      <c r="K93" s="2" t="s">
        <v>28</v>
      </c>
      <c r="L93" s="2">
        <v>5.0</v>
      </c>
      <c r="M93" s="2">
        <f t="shared" si="19"/>
        <v>0</v>
      </c>
      <c r="N93" s="2">
        <f t="shared" si="18"/>
        <v>5.5</v>
      </c>
      <c r="O93" s="7">
        <v>0.0</v>
      </c>
      <c r="P93" s="7">
        <v>5.0</v>
      </c>
      <c r="Q93" s="7">
        <v>0.0</v>
      </c>
      <c r="R93" s="7">
        <v>5.0</v>
      </c>
    </row>
    <row r="94" ht="15.75" customHeight="1">
      <c r="A94" s="2" t="s">
        <v>247</v>
      </c>
      <c r="B94" s="7">
        <v>0.0</v>
      </c>
      <c r="C94" s="7">
        <v>1.0</v>
      </c>
      <c r="D94" s="7">
        <v>0.0</v>
      </c>
      <c r="E94" s="7">
        <v>1.0</v>
      </c>
      <c r="F94" s="2" t="s">
        <v>222</v>
      </c>
      <c r="G94" s="2" t="s">
        <v>223</v>
      </c>
      <c r="H94" s="2">
        <v>0.0</v>
      </c>
      <c r="I94" s="2">
        <v>2.0</v>
      </c>
      <c r="J94" s="2" t="s">
        <v>248</v>
      </c>
      <c r="K94" s="2" t="s">
        <v>28</v>
      </c>
      <c r="L94" s="2">
        <v>5.0</v>
      </c>
      <c r="M94" s="2">
        <f t="shared" si="19"/>
        <v>0</v>
      </c>
      <c r="N94" s="2">
        <f t="shared" si="18"/>
        <v>1.1</v>
      </c>
      <c r="O94" s="7">
        <v>0.0</v>
      </c>
      <c r="P94" s="7">
        <v>1.0</v>
      </c>
      <c r="Q94" s="7">
        <v>0.0</v>
      </c>
      <c r="R94" s="7">
        <v>1.0</v>
      </c>
    </row>
    <row r="95" ht="15.75" customHeight="1">
      <c r="A95" s="2" t="s">
        <v>249</v>
      </c>
      <c r="B95" s="7">
        <v>0.0</v>
      </c>
      <c r="C95" s="7">
        <v>2.0</v>
      </c>
      <c r="D95" s="7">
        <v>0.0</v>
      </c>
      <c r="E95" s="7">
        <v>2.0</v>
      </c>
      <c r="F95" s="2" t="s">
        <v>250</v>
      </c>
      <c r="G95" s="2" t="s">
        <v>203</v>
      </c>
      <c r="H95" s="2">
        <v>0.0</v>
      </c>
      <c r="I95" s="2">
        <v>50.0</v>
      </c>
      <c r="J95" s="2" t="s">
        <v>251</v>
      </c>
      <c r="K95" s="2" t="s">
        <v>21</v>
      </c>
      <c r="L95" s="2">
        <v>5.0</v>
      </c>
      <c r="M95" s="2">
        <f t="shared" si="19"/>
        <v>0</v>
      </c>
      <c r="N95" s="2">
        <f t="shared" si="18"/>
        <v>2.2</v>
      </c>
      <c r="O95" s="7">
        <v>0.0</v>
      </c>
      <c r="P95" s="7">
        <v>34.0</v>
      </c>
      <c r="Q95" s="7">
        <v>0.0</v>
      </c>
      <c r="R95" s="7">
        <v>34.0</v>
      </c>
    </row>
    <row r="96" ht="15.75" customHeight="1">
      <c r="A96" s="2" t="s">
        <v>252</v>
      </c>
      <c r="B96" s="7">
        <v>0.0</v>
      </c>
      <c r="C96" s="7">
        <v>11.0</v>
      </c>
      <c r="D96" s="7">
        <v>0.0</v>
      </c>
      <c r="E96" s="7">
        <v>11.0</v>
      </c>
      <c r="F96" s="2" t="s">
        <v>250</v>
      </c>
      <c r="G96" s="2" t="s">
        <v>203</v>
      </c>
      <c r="H96" s="2">
        <v>0.0</v>
      </c>
      <c r="I96" s="2">
        <v>150.0</v>
      </c>
      <c r="J96" s="2" t="s">
        <v>253</v>
      </c>
      <c r="K96" s="2" t="s">
        <v>21</v>
      </c>
      <c r="L96" s="2">
        <v>5.0</v>
      </c>
      <c r="M96" s="2">
        <f t="shared" si="19"/>
        <v>0</v>
      </c>
      <c r="N96" s="2">
        <f t="shared" si="18"/>
        <v>12.1</v>
      </c>
      <c r="O96" s="7">
        <v>0.0</v>
      </c>
      <c r="P96" s="7">
        <v>115.0</v>
      </c>
      <c r="Q96" s="7">
        <v>0.0</v>
      </c>
      <c r="R96" s="7">
        <v>115.0</v>
      </c>
    </row>
    <row r="97" ht="15.75" customHeight="1">
      <c r="A97" s="2" t="s">
        <v>254</v>
      </c>
      <c r="B97" s="7">
        <v>10.0</v>
      </c>
      <c r="C97" s="7">
        <v>50.0</v>
      </c>
      <c r="D97" s="7">
        <v>10.0</v>
      </c>
      <c r="E97" s="7">
        <v>50.0</v>
      </c>
      <c r="F97" s="2" t="s">
        <v>142</v>
      </c>
      <c r="G97" s="2" t="s">
        <v>113</v>
      </c>
      <c r="H97" s="2">
        <v>0.0</v>
      </c>
      <c r="I97" s="2">
        <v>0.0</v>
      </c>
      <c r="J97" s="2" t="s">
        <v>255</v>
      </c>
      <c r="K97" s="2" t="s">
        <v>21</v>
      </c>
      <c r="L97" s="2">
        <v>5.0</v>
      </c>
      <c r="M97" s="2">
        <f t="shared" si="19"/>
        <v>6</v>
      </c>
      <c r="N97" s="2">
        <f t="shared" si="18"/>
        <v>55</v>
      </c>
      <c r="O97" s="7">
        <v>0.0</v>
      </c>
      <c r="P97" s="7">
        <v>100.0</v>
      </c>
      <c r="Q97" s="7">
        <v>0.0</v>
      </c>
      <c r="R97" s="7">
        <v>100.0</v>
      </c>
    </row>
    <row r="98" ht="15.75" customHeight="1">
      <c r="A98" s="2" t="s">
        <v>256</v>
      </c>
      <c r="B98" s="7">
        <v>40.0</v>
      </c>
      <c r="C98" s="7">
        <v>90.0</v>
      </c>
      <c r="D98" s="7">
        <v>40.0</v>
      </c>
      <c r="E98" s="7">
        <v>90.0</v>
      </c>
      <c r="F98" s="2" t="s">
        <v>51</v>
      </c>
      <c r="G98" s="2" t="s">
        <v>72</v>
      </c>
      <c r="H98" s="2">
        <v>0.0</v>
      </c>
      <c r="I98" s="2">
        <v>0.0</v>
      </c>
      <c r="J98" s="2" t="s">
        <v>257</v>
      </c>
      <c r="K98" s="2" t="s">
        <v>21</v>
      </c>
      <c r="L98" s="2">
        <v>1.0</v>
      </c>
      <c r="M98" s="2">
        <f t="shared" ref="M98:M100" si="20">B98-(0.05*B98)</f>
        <v>38</v>
      </c>
      <c r="N98" s="2">
        <f t="shared" ref="N98:N103" si="21">C98+(0.05*C98)</f>
        <v>94.5</v>
      </c>
      <c r="O98" s="7">
        <v>50.0</v>
      </c>
      <c r="P98" s="7">
        <v>130.0</v>
      </c>
      <c r="Q98" s="7">
        <v>50.0</v>
      </c>
      <c r="R98" s="7">
        <v>130.0</v>
      </c>
    </row>
    <row r="99" ht="15.75" customHeight="1">
      <c r="A99" s="2" t="s">
        <v>258</v>
      </c>
      <c r="B99" s="7">
        <v>120.0</v>
      </c>
      <c r="C99" s="7">
        <v>200.0</v>
      </c>
      <c r="D99" s="7">
        <v>140.0</v>
      </c>
      <c r="E99" s="7">
        <v>200.0</v>
      </c>
      <c r="F99" s="2" t="s">
        <v>51</v>
      </c>
      <c r="G99" s="2" t="s">
        <v>72</v>
      </c>
      <c r="H99" s="2">
        <v>0.0</v>
      </c>
      <c r="I99" s="2">
        <v>0.0</v>
      </c>
      <c r="J99" s="2" t="s">
        <v>259</v>
      </c>
      <c r="K99" s="2" t="s">
        <v>28</v>
      </c>
      <c r="L99" s="2">
        <v>1.0</v>
      </c>
      <c r="M99" s="2">
        <f t="shared" si="20"/>
        <v>114</v>
      </c>
      <c r="N99" s="2">
        <f t="shared" si="21"/>
        <v>210</v>
      </c>
      <c r="O99" s="7">
        <v>90.0</v>
      </c>
      <c r="P99" s="7">
        <v>180.0</v>
      </c>
      <c r="Q99" s="7">
        <v>90.0</v>
      </c>
      <c r="R99" s="7">
        <v>180.0</v>
      </c>
    </row>
    <row r="100" ht="15.75" customHeight="1">
      <c r="A100" s="2" t="s">
        <v>260</v>
      </c>
      <c r="B100" s="7">
        <v>0.0</v>
      </c>
      <c r="C100" s="7">
        <v>30.0</v>
      </c>
      <c r="D100" s="7">
        <v>0.0</v>
      </c>
      <c r="E100" s="7">
        <v>30.0</v>
      </c>
      <c r="F100" s="2" t="s">
        <v>51</v>
      </c>
      <c r="G100" s="2" t="s">
        <v>72</v>
      </c>
      <c r="H100" s="2">
        <v>0.0</v>
      </c>
      <c r="I100" s="2">
        <v>0.0</v>
      </c>
      <c r="J100" s="2" t="s">
        <v>261</v>
      </c>
      <c r="K100" s="2" t="s">
        <v>21</v>
      </c>
      <c r="L100" s="2">
        <v>1.0</v>
      </c>
      <c r="M100" s="2">
        <f t="shared" si="20"/>
        <v>0</v>
      </c>
      <c r="N100" s="2">
        <f t="shared" si="21"/>
        <v>31.5</v>
      </c>
      <c r="O100" s="7">
        <v>0.0</v>
      </c>
      <c r="P100" s="7">
        <v>30.0</v>
      </c>
      <c r="Q100" s="7">
        <v>0.0</v>
      </c>
      <c r="R100" s="7">
        <v>30.0</v>
      </c>
    </row>
    <row r="101" ht="15.75" customHeight="1">
      <c r="A101" s="13" t="s">
        <v>262</v>
      </c>
      <c r="B101" s="7">
        <v>0.0</v>
      </c>
      <c r="C101" s="7">
        <v>20.0</v>
      </c>
      <c r="D101" s="7">
        <v>0.0</v>
      </c>
      <c r="E101" s="7">
        <v>20.0</v>
      </c>
      <c r="F101" s="2" t="s">
        <v>263</v>
      </c>
      <c r="G101" s="2" t="s">
        <v>264</v>
      </c>
      <c r="H101" s="2">
        <v>0.0</v>
      </c>
      <c r="I101" s="2">
        <v>0.0</v>
      </c>
      <c r="J101" s="2" t="s">
        <v>265</v>
      </c>
      <c r="K101" s="2" t="s">
        <v>21</v>
      </c>
      <c r="L101" s="2">
        <v>1.0</v>
      </c>
      <c r="M101" s="2">
        <v>0.0</v>
      </c>
      <c r="N101" s="2">
        <f t="shared" si="21"/>
        <v>21</v>
      </c>
      <c r="O101" s="7">
        <v>0.0</v>
      </c>
      <c r="P101" s="7">
        <v>20.0</v>
      </c>
      <c r="Q101" s="7">
        <v>0.0</v>
      </c>
      <c r="R101" s="7">
        <v>20.0</v>
      </c>
    </row>
    <row r="102" ht="15.75" customHeight="1">
      <c r="A102" s="2" t="s">
        <v>266</v>
      </c>
      <c r="B102" s="7">
        <v>0.0</v>
      </c>
      <c r="C102" s="7">
        <v>1.0</v>
      </c>
      <c r="D102" s="7">
        <v>0.0</v>
      </c>
      <c r="E102" s="7">
        <v>1.0</v>
      </c>
      <c r="F102" s="2" t="s">
        <v>267</v>
      </c>
      <c r="G102" s="2" t="s">
        <v>264</v>
      </c>
      <c r="H102" s="2">
        <v>0.0</v>
      </c>
      <c r="I102" s="2">
        <v>0.0</v>
      </c>
      <c r="J102" s="2" t="s">
        <v>268</v>
      </c>
      <c r="K102" s="2" t="s">
        <v>21</v>
      </c>
      <c r="L102" s="2">
        <v>1.0</v>
      </c>
      <c r="M102" s="2">
        <v>0.0</v>
      </c>
      <c r="N102" s="2">
        <f t="shared" si="21"/>
        <v>1.05</v>
      </c>
      <c r="O102" s="7">
        <v>0.0</v>
      </c>
      <c r="P102" s="7">
        <v>1.0</v>
      </c>
      <c r="Q102" s="7">
        <v>0.0</v>
      </c>
      <c r="R102" s="7">
        <v>1.0</v>
      </c>
    </row>
    <row r="103" ht="15.75" customHeight="1">
      <c r="A103" s="2" t="s">
        <v>269</v>
      </c>
      <c r="B103" s="7">
        <v>0.0</v>
      </c>
      <c r="C103" s="7">
        <v>14.0</v>
      </c>
      <c r="D103" s="7">
        <v>0.0</v>
      </c>
      <c r="E103" s="7">
        <v>14.0</v>
      </c>
      <c r="F103" s="2" t="s">
        <v>250</v>
      </c>
      <c r="G103" s="2" t="s">
        <v>264</v>
      </c>
      <c r="H103" s="2">
        <v>0.0</v>
      </c>
      <c r="I103" s="2">
        <v>0.0</v>
      </c>
      <c r="J103" s="2" t="s">
        <v>270</v>
      </c>
      <c r="K103" s="2" t="s">
        <v>28</v>
      </c>
      <c r="L103" s="2">
        <v>1.0</v>
      </c>
      <c r="M103" s="2">
        <v>0.0</v>
      </c>
      <c r="N103" s="2">
        <f t="shared" si="21"/>
        <v>14.7</v>
      </c>
      <c r="O103" s="7">
        <v>0.0</v>
      </c>
      <c r="P103" s="7">
        <v>14.0</v>
      </c>
      <c r="Q103" s="7">
        <v>0.0</v>
      </c>
      <c r="R103" s="7">
        <v>14.0</v>
      </c>
    </row>
    <row r="104" ht="15.75" customHeight="1">
      <c r="A104" s="14" t="s">
        <v>271</v>
      </c>
      <c r="B104" s="7">
        <v>45.0</v>
      </c>
      <c r="C104" s="7">
        <v>168.0</v>
      </c>
      <c r="D104" s="7">
        <v>45.0</v>
      </c>
      <c r="E104" s="7">
        <v>168.0</v>
      </c>
      <c r="F104" s="2" t="s">
        <v>142</v>
      </c>
      <c r="G104" s="2" t="s">
        <v>72</v>
      </c>
      <c r="H104" s="2">
        <v>0.0</v>
      </c>
      <c r="I104" s="2">
        <v>0.0</v>
      </c>
      <c r="J104" s="14" t="s">
        <v>272</v>
      </c>
      <c r="K104" s="2" t="s">
        <v>28</v>
      </c>
      <c r="L104" s="2">
        <v>1.0</v>
      </c>
      <c r="M104" s="2">
        <v>42.75</v>
      </c>
      <c r="N104" s="2">
        <v>176.4</v>
      </c>
      <c r="O104" s="7">
        <v>39.0</v>
      </c>
      <c r="P104" s="7">
        <v>308.0</v>
      </c>
      <c r="Q104" s="7">
        <v>26.0</v>
      </c>
      <c r="R104" s="7">
        <v>192.0</v>
      </c>
    </row>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G$1:$G$1000"/>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0.13"/>
    <col customWidth="1" min="2" max="2" width="79.63"/>
    <col customWidth="1" min="3" max="3" width="81.63"/>
    <col customWidth="1" min="6" max="6" width="26.0"/>
  </cols>
  <sheetData>
    <row r="1">
      <c r="A1" s="15" t="s">
        <v>0</v>
      </c>
      <c r="B1" s="16" t="s">
        <v>273</v>
      </c>
      <c r="C1" s="15" t="s">
        <v>274</v>
      </c>
      <c r="D1" s="2" t="s">
        <v>275</v>
      </c>
      <c r="E1" s="2" t="s">
        <v>276</v>
      </c>
      <c r="H1" s="17" t="str">
        <f>IFERROR(__xludf.DUMMYFUNCTION("IF(REGEXMATCH(C1, ""Alcohol""), ""Alcohol"", """")"),"")</f>
        <v/>
      </c>
    </row>
    <row r="2">
      <c r="A2" s="18" t="s">
        <v>25</v>
      </c>
      <c r="B2" s="18" t="s">
        <v>277</v>
      </c>
      <c r="C2" s="19" t="s">
        <v>278</v>
      </c>
      <c r="D2" s="2" t="s">
        <v>279</v>
      </c>
      <c r="E2" s="2" t="s">
        <v>279</v>
      </c>
      <c r="H2" s="17" t="str">
        <f>IFERROR(__xludf.DUMMYFUNCTION("IF(REGEXMATCH(B2, ""weight""), ""Excess Weight"", """")"),"")</f>
        <v/>
      </c>
    </row>
    <row r="3">
      <c r="A3" s="18" t="s">
        <v>280</v>
      </c>
      <c r="B3" s="18" t="s">
        <v>277</v>
      </c>
      <c r="C3" s="19" t="s">
        <v>278</v>
      </c>
      <c r="D3" s="2" t="s">
        <v>279</v>
      </c>
      <c r="E3" s="2" t="s">
        <v>279</v>
      </c>
      <c r="H3" s="17" t="str">
        <f>IFERROR(__xludf.DUMMYFUNCTION("IF(REGEXMATCH(B3, ""weight""), ""Excess Weight"", """")"),"")</f>
        <v/>
      </c>
    </row>
    <row r="4">
      <c r="A4" s="18" t="s">
        <v>17</v>
      </c>
      <c r="B4" s="18" t="s">
        <v>277</v>
      </c>
      <c r="C4" s="19" t="s">
        <v>278</v>
      </c>
      <c r="D4" s="2" t="s">
        <v>279</v>
      </c>
      <c r="E4" s="2" t="s">
        <v>279</v>
      </c>
      <c r="H4" s="17" t="str">
        <f>IFERROR(__xludf.DUMMYFUNCTION("IF(REGEXMATCH(B4, ""weight""), ""Excess Weight"", """")"),"")</f>
        <v/>
      </c>
    </row>
    <row r="5">
      <c r="A5" s="18" t="s">
        <v>22</v>
      </c>
      <c r="B5" s="18" t="s">
        <v>277</v>
      </c>
      <c r="C5" s="19" t="s">
        <v>278</v>
      </c>
      <c r="D5" s="2" t="s">
        <v>279</v>
      </c>
      <c r="E5" s="2" t="s">
        <v>279</v>
      </c>
      <c r="H5" s="17" t="str">
        <f>IFERROR(__xludf.DUMMYFUNCTION("IF(REGEXMATCH(B5, ""weight""), ""Excess Weight"", """")"),"")</f>
        <v/>
      </c>
    </row>
    <row r="6">
      <c r="A6" s="18" t="s">
        <v>29</v>
      </c>
      <c r="B6" s="19" t="s">
        <v>281</v>
      </c>
      <c r="C6" s="18" t="s">
        <v>282</v>
      </c>
      <c r="D6" s="2" t="s">
        <v>283</v>
      </c>
      <c r="E6" s="2" t="s">
        <v>279</v>
      </c>
      <c r="F6" s="2" t="str">
        <f>IFERROR(__xludf.DUMMYFUNCTION("IF(REGEXMATCH(B6, ""Alcohol""), ""Alcohol"", """")"),"")</f>
        <v/>
      </c>
      <c r="H6" s="17" t="str">
        <f>IFERROR(__xludf.DUMMYFUNCTION("IF(REGEXMATCH(B6, ""weight""), ""Excess Weight"", """")"),"")</f>
        <v/>
      </c>
    </row>
    <row r="7">
      <c r="A7" s="18" t="s">
        <v>32</v>
      </c>
      <c r="B7" s="18" t="s">
        <v>281</v>
      </c>
      <c r="C7" s="18" t="s">
        <v>282</v>
      </c>
      <c r="D7" s="2" t="s">
        <v>283</v>
      </c>
      <c r="E7" s="2" t="s">
        <v>279</v>
      </c>
      <c r="F7" s="2" t="str">
        <f>IFERROR(__xludf.DUMMYFUNCTION("IF(REGEXMATCH(B7, ""Alcohol""), ""Alcohol"", """")"),"")</f>
        <v/>
      </c>
      <c r="H7" s="17" t="str">
        <f>IFERROR(__xludf.DUMMYFUNCTION("IF(REGEXMATCH(B7, ""weight""), ""Excess Weight"", """")"),"")</f>
        <v/>
      </c>
    </row>
    <row r="8">
      <c r="A8" s="18" t="s">
        <v>35</v>
      </c>
      <c r="B8" s="18" t="s">
        <v>281</v>
      </c>
      <c r="C8" s="18" t="s">
        <v>282</v>
      </c>
      <c r="D8" s="2" t="s">
        <v>283</v>
      </c>
      <c r="E8" s="2" t="s">
        <v>279</v>
      </c>
      <c r="F8" s="2" t="str">
        <f>IFERROR(__xludf.DUMMYFUNCTION("IF(REGEXMATCH(B8, ""Alcohol""), ""Alcohol"", """")"),"")</f>
        <v/>
      </c>
      <c r="H8" s="17" t="str">
        <f>IFERROR(__xludf.DUMMYFUNCTION("IF(REGEXMATCH(B8, ""weight""), ""Excess Weight"", """")"),"")</f>
        <v/>
      </c>
    </row>
    <row r="9">
      <c r="A9" s="18" t="s">
        <v>38</v>
      </c>
      <c r="B9" s="18" t="s">
        <v>284</v>
      </c>
      <c r="C9" s="18" t="s">
        <v>285</v>
      </c>
      <c r="D9" s="2" t="s">
        <v>279</v>
      </c>
      <c r="E9" s="2" t="s">
        <v>279</v>
      </c>
      <c r="F9" s="2" t="str">
        <f>IFERROR(__xludf.DUMMYFUNCTION("IF(REGEXMATCH(B9, ""Alcohol""), ""Alcohol"", """")"),"")</f>
        <v/>
      </c>
      <c r="H9" s="17" t="str">
        <f>IFERROR(__xludf.DUMMYFUNCTION("IF(REGEXMATCH(B9, ""weight""), ""Excess Weight"", """")"),"")</f>
        <v/>
      </c>
    </row>
    <row r="10">
      <c r="A10" s="18" t="s">
        <v>40</v>
      </c>
      <c r="B10" s="18" t="s">
        <v>286</v>
      </c>
      <c r="C10" s="19" t="s">
        <v>287</v>
      </c>
      <c r="D10" s="2" t="s">
        <v>279</v>
      </c>
      <c r="E10" s="2" t="s">
        <v>283</v>
      </c>
      <c r="F10" s="2" t="str">
        <f>IFERROR(__xludf.DUMMYFUNCTION("IF(REGEXMATCH(B10, ""Alcohol""), ""Alcohol"", """")"),"")</f>
        <v/>
      </c>
      <c r="H10" s="17" t="str">
        <f>IFERROR(__xludf.DUMMYFUNCTION("IF(REGEXMATCH(B10, ""weight""), ""Excess Weight"", """")"),"")</f>
        <v/>
      </c>
    </row>
    <row r="11">
      <c r="A11" s="18" t="s">
        <v>149</v>
      </c>
      <c r="B11" s="19" t="s">
        <v>288</v>
      </c>
      <c r="C11" s="18" t="s">
        <v>289</v>
      </c>
      <c r="D11" s="2" t="s">
        <v>279</v>
      </c>
      <c r="E11" s="2" t="s">
        <v>279</v>
      </c>
      <c r="F11" s="2" t="str">
        <f>IFERROR(__xludf.DUMMYFUNCTION("IF(REGEXMATCH(B11, ""Alcohol""), ""Alcohol"", """")"),"")</f>
        <v/>
      </c>
      <c r="H11" s="17" t="str">
        <f>IFERROR(__xludf.DUMMYFUNCTION("IF(REGEXMATCH(B11, ""weight""), ""Excess Weight"", """")"),"")</f>
        <v/>
      </c>
    </row>
    <row r="12">
      <c r="A12" s="18" t="s">
        <v>151</v>
      </c>
      <c r="B12" s="18" t="s">
        <v>288</v>
      </c>
      <c r="C12" s="18" t="s">
        <v>290</v>
      </c>
      <c r="D12" s="2" t="s">
        <v>279</v>
      </c>
      <c r="E12" s="2" t="s">
        <v>279</v>
      </c>
      <c r="F12" s="2" t="str">
        <f>IFERROR(__xludf.DUMMYFUNCTION("IF(REGEXMATCH(B12, ""Alcohol""), ""Alcohol"", """")"),"")</f>
        <v/>
      </c>
      <c r="H12" s="17" t="str">
        <f>IFERROR(__xludf.DUMMYFUNCTION("IF(REGEXMATCH(B12, ""weight""), ""Excess Weight"", """")"),"")</f>
        <v/>
      </c>
    </row>
    <row r="13">
      <c r="A13" s="18" t="s">
        <v>118</v>
      </c>
      <c r="B13" s="18" t="s">
        <v>291</v>
      </c>
      <c r="C13" s="18" t="s">
        <v>292</v>
      </c>
      <c r="D13" s="2" t="s">
        <v>279</v>
      </c>
      <c r="E13" s="2" t="s">
        <v>279</v>
      </c>
      <c r="F13" s="2" t="str">
        <f>IFERROR(__xludf.DUMMYFUNCTION("IF(REGEXMATCH(B13, ""Alcohol""), ""Alcohol"", """")"),"")</f>
        <v/>
      </c>
      <c r="H13" s="17" t="str">
        <f>IFERROR(__xludf.DUMMYFUNCTION("IF(REGEXMATCH(B13, ""weight""), ""Excess Weight"", """")"),"Excess Weight")</f>
        <v>Excess Weight</v>
      </c>
    </row>
    <row r="14">
      <c r="A14" s="18" t="s">
        <v>123</v>
      </c>
      <c r="B14" s="18" t="s">
        <v>293</v>
      </c>
      <c r="C14" s="18" t="s">
        <v>294</v>
      </c>
      <c r="D14" s="2" t="s">
        <v>295</v>
      </c>
      <c r="E14" s="2" t="s">
        <v>279</v>
      </c>
      <c r="F14" s="2" t="str">
        <f>IFERROR(__xludf.DUMMYFUNCTION("IF(REGEXMATCH(B14, ""Alcohol""), ""Alcohol"", """")"),"")</f>
        <v/>
      </c>
      <c r="H14" s="17" t="str">
        <f>IFERROR(__xludf.DUMMYFUNCTION("IF(REGEXMATCH(B14, ""weight""), ""Excess Weight"", """")"),"")</f>
        <v/>
      </c>
    </row>
    <row r="15">
      <c r="A15" s="18" t="s">
        <v>121</v>
      </c>
      <c r="B15" s="18" t="s">
        <v>293</v>
      </c>
      <c r="C15" s="18" t="s">
        <v>294</v>
      </c>
      <c r="D15" s="2" t="s">
        <v>295</v>
      </c>
      <c r="E15" s="2" t="s">
        <v>279</v>
      </c>
      <c r="F15" s="2" t="str">
        <f>IFERROR(__xludf.DUMMYFUNCTION("IF(REGEXMATCH(B15, ""Alcohol""), ""Alcohol"", """")"),"")</f>
        <v/>
      </c>
      <c r="H15" s="17" t="str">
        <f>IFERROR(__xludf.DUMMYFUNCTION("IF(REGEXMATCH(B15, ""weight""), ""Excess Weight"", """")"),"")</f>
        <v/>
      </c>
    </row>
    <row r="16">
      <c r="A16" s="18" t="s">
        <v>127</v>
      </c>
      <c r="B16" s="18" t="s">
        <v>296</v>
      </c>
      <c r="C16" s="18" t="s">
        <v>297</v>
      </c>
      <c r="D16" s="2" t="s">
        <v>279</v>
      </c>
      <c r="E16" s="2" t="s">
        <v>279</v>
      </c>
      <c r="F16" s="2" t="str">
        <f>IFERROR(__xludf.DUMMYFUNCTION("IF(REGEXMATCH(B16, ""Alcohol""), ""Alcohol"", """")"),"")</f>
        <v/>
      </c>
      <c r="H16" s="17" t="str">
        <f>IFERROR(__xludf.DUMMYFUNCTION("IF(REGEXMATCH(B16, ""weight""), ""Excess Weight"", """")"),"")</f>
        <v/>
      </c>
    </row>
    <row r="17">
      <c r="A17" s="18" t="s">
        <v>125</v>
      </c>
      <c r="B17" s="18" t="s">
        <v>296</v>
      </c>
      <c r="C17" s="18" t="s">
        <v>297</v>
      </c>
      <c r="D17" s="2" t="s">
        <v>279</v>
      </c>
      <c r="E17" s="2" t="s">
        <v>279</v>
      </c>
      <c r="F17" s="2" t="str">
        <f>IFERROR(__xludf.DUMMYFUNCTION("IF(REGEXMATCH(B17, ""Alcohol""), ""Alcohol"", """")"),"")</f>
        <v/>
      </c>
      <c r="H17" s="17" t="str">
        <f>IFERROR(__xludf.DUMMYFUNCTION("IF(REGEXMATCH(B17, ""weight""), ""Excess Weight"", """")"),"")</f>
        <v/>
      </c>
    </row>
    <row r="18">
      <c r="A18" s="18" t="s">
        <v>131</v>
      </c>
      <c r="B18" s="18" t="s">
        <v>298</v>
      </c>
      <c r="C18" s="18" t="s">
        <v>299</v>
      </c>
      <c r="D18" s="2" t="s">
        <v>279</v>
      </c>
      <c r="E18" s="2" t="s">
        <v>279</v>
      </c>
      <c r="F18" s="2" t="str">
        <f>IFERROR(__xludf.DUMMYFUNCTION("IF(REGEXMATCH(B18, ""Alcohol""), ""Alcohol"", """")"),"")</f>
        <v/>
      </c>
      <c r="H18" s="17" t="str">
        <f>IFERROR(__xludf.DUMMYFUNCTION("IF(REGEXMATCH(B18, ""weight""), ""Excess Weight"", """")"),"")</f>
        <v/>
      </c>
    </row>
    <row r="19">
      <c r="A19" s="18" t="s">
        <v>129</v>
      </c>
      <c r="B19" s="18" t="s">
        <v>298</v>
      </c>
      <c r="C19" s="18" t="s">
        <v>299</v>
      </c>
      <c r="D19" s="2" t="s">
        <v>279</v>
      </c>
      <c r="E19" s="2" t="s">
        <v>279</v>
      </c>
      <c r="F19" s="2" t="str">
        <f>IFERROR(__xludf.DUMMYFUNCTION("IF(REGEXMATCH(B19, ""Alcohol""), ""Alcohol"", """")"),"")</f>
        <v/>
      </c>
      <c r="H19" s="17" t="str">
        <f>IFERROR(__xludf.DUMMYFUNCTION("IF(REGEXMATCH(B19, ""weight""), ""Excess Weight"", """")"),"")</f>
        <v/>
      </c>
    </row>
    <row r="20">
      <c r="A20" s="18" t="s">
        <v>135</v>
      </c>
      <c r="B20" s="18" t="s">
        <v>300</v>
      </c>
      <c r="C20" s="18" t="s">
        <v>301</v>
      </c>
      <c r="D20" s="2" t="s">
        <v>279</v>
      </c>
      <c r="E20" s="2" t="s">
        <v>279</v>
      </c>
      <c r="F20" s="2" t="str">
        <f>IFERROR(__xludf.DUMMYFUNCTION("IF(REGEXMATCH(B20, ""Alcohol""), ""Alcohol"", """")"),"")</f>
        <v/>
      </c>
      <c r="H20" s="17" t="str">
        <f>IFERROR(__xludf.DUMMYFUNCTION("IF(REGEXMATCH(B20, ""weight""), ""Excess Weight"", """")"),"")</f>
        <v/>
      </c>
    </row>
    <row r="21" ht="15.75" customHeight="1">
      <c r="A21" s="18" t="s">
        <v>133</v>
      </c>
      <c r="B21" s="18" t="s">
        <v>300</v>
      </c>
      <c r="C21" s="18" t="s">
        <v>301</v>
      </c>
      <c r="D21" s="2" t="s">
        <v>279</v>
      </c>
      <c r="E21" s="2" t="s">
        <v>279</v>
      </c>
      <c r="F21" s="2" t="str">
        <f>IFERROR(__xludf.DUMMYFUNCTION("IF(REGEXMATCH(B21, ""Alcohol""), ""Alcohol"", """")"),"")</f>
        <v/>
      </c>
      <c r="H21" s="17" t="str">
        <f>IFERROR(__xludf.DUMMYFUNCTION("IF(REGEXMATCH(B21, ""weight""), ""Excess Weight"", """")"),"")</f>
        <v/>
      </c>
    </row>
    <row r="22" ht="15.75" customHeight="1">
      <c r="A22" s="18" t="s">
        <v>137</v>
      </c>
      <c r="B22" s="18" t="s">
        <v>302</v>
      </c>
      <c r="C22" s="18" t="s">
        <v>303</v>
      </c>
      <c r="D22" s="2" t="s">
        <v>279</v>
      </c>
      <c r="E22" s="2" t="s">
        <v>279</v>
      </c>
      <c r="F22" s="2" t="str">
        <f>IFERROR(__xludf.DUMMYFUNCTION("IF(REGEXMATCH(B22, ""Alcohol""), ""Alcohol"", """")"),"")</f>
        <v/>
      </c>
      <c r="H22" s="17" t="str">
        <f>IFERROR(__xludf.DUMMYFUNCTION("IF(REGEXMATCH(B22, ""weight""), ""Excess Weight"", """")"),"")</f>
        <v/>
      </c>
    </row>
    <row r="23" ht="53.25" customHeight="1">
      <c r="A23" s="18" t="s">
        <v>304</v>
      </c>
      <c r="B23" s="19" t="s">
        <v>305</v>
      </c>
      <c r="C23" s="18" t="s">
        <v>306</v>
      </c>
      <c r="D23" s="2" t="s">
        <v>279</v>
      </c>
      <c r="E23" s="2" t="s">
        <v>279</v>
      </c>
      <c r="F23" s="2" t="str">
        <f>IFERROR(__xludf.DUMMYFUNCTION("IF(REGEXMATCH(B23, ""Alcohol""), ""Alcohol"", """")"),"")</f>
        <v/>
      </c>
      <c r="H23" s="17" t="str">
        <f>IFERROR(__xludf.DUMMYFUNCTION("IF(REGEXMATCH(B23, ""weight""), ""Excess Weight"", """")"),"")</f>
        <v/>
      </c>
    </row>
    <row r="24" ht="15.75" customHeight="1">
      <c r="A24" s="18" t="s">
        <v>111</v>
      </c>
      <c r="B24" s="18" t="s">
        <v>307</v>
      </c>
      <c r="C24" s="18" t="s">
        <v>303</v>
      </c>
      <c r="D24" s="2" t="s">
        <v>279</v>
      </c>
      <c r="E24" s="2" t="s">
        <v>279</v>
      </c>
      <c r="F24" s="2" t="str">
        <f>IFERROR(__xludf.DUMMYFUNCTION("IF(REGEXMATCH(B24, ""Alcohol""), ""Alcohol"", """")"),"")</f>
        <v/>
      </c>
      <c r="H24" s="17" t="str">
        <f>IFERROR(__xludf.DUMMYFUNCTION("IF(REGEXMATCH(B24, ""weight""), ""Excess Weight"", """")"),"")</f>
        <v/>
      </c>
    </row>
    <row r="25" ht="15.75" customHeight="1">
      <c r="A25" s="18" t="s">
        <v>115</v>
      </c>
      <c r="B25" s="18" t="s">
        <v>308</v>
      </c>
      <c r="C25" s="18" t="s">
        <v>303</v>
      </c>
      <c r="D25" s="2" t="s">
        <v>279</v>
      </c>
      <c r="E25" s="2" t="s">
        <v>279</v>
      </c>
      <c r="F25" s="2" t="str">
        <f>IFERROR(__xludf.DUMMYFUNCTION("IF(REGEXMATCH(B25, ""Alcohol""), ""Alcohol"", """")"),"")</f>
        <v/>
      </c>
      <c r="H25" s="17" t="str">
        <f>IFERROR(__xludf.DUMMYFUNCTION("IF(REGEXMATCH(B25, ""weight""), ""Excess Weight"", """")"),"Excess Weight")</f>
        <v>Excess Weight</v>
      </c>
    </row>
    <row r="26" ht="15.75" customHeight="1">
      <c r="A26" s="18" t="s">
        <v>153</v>
      </c>
      <c r="B26" s="18" t="s">
        <v>309</v>
      </c>
      <c r="C26" s="19" t="s">
        <v>310</v>
      </c>
      <c r="D26" s="2" t="s">
        <v>279</v>
      </c>
      <c r="E26" s="2" t="s">
        <v>279</v>
      </c>
      <c r="F26" s="2" t="s">
        <v>311</v>
      </c>
      <c r="H26" s="17" t="str">
        <f>IFERROR(__xludf.DUMMYFUNCTION("IF(REGEXMATCH(B26, ""weight""), ""Excess Weight"", """")"),"")</f>
        <v/>
      </c>
    </row>
    <row r="27" ht="15.75" customHeight="1">
      <c r="A27" s="18" t="s">
        <v>215</v>
      </c>
      <c r="B27" s="18" t="s">
        <v>312</v>
      </c>
      <c r="C27" s="18" t="s">
        <v>313</v>
      </c>
      <c r="D27" s="2" t="s">
        <v>279</v>
      </c>
      <c r="E27" s="2" t="s">
        <v>279</v>
      </c>
      <c r="H27" s="17" t="str">
        <f>IFERROR(__xludf.DUMMYFUNCTION("IF(REGEXMATCH(B27, ""weight""), ""Excess Weight"", """")"),"")</f>
        <v/>
      </c>
    </row>
    <row r="28" ht="39.75" customHeight="1">
      <c r="A28" s="18" t="s">
        <v>218</v>
      </c>
      <c r="B28" s="18" t="s">
        <v>314</v>
      </c>
      <c r="C28" s="18" t="s">
        <v>315</v>
      </c>
      <c r="D28" s="2" t="s">
        <v>283</v>
      </c>
      <c r="E28" s="2" t="s">
        <v>279</v>
      </c>
      <c r="H28" s="17" t="str">
        <f>IFERROR(__xludf.DUMMYFUNCTION("IF(REGEXMATCH(B28, ""weight""), ""Excess Weight"", """")"),"")</f>
        <v/>
      </c>
    </row>
    <row r="29" ht="78.75" customHeight="1">
      <c r="A29" s="18" t="s">
        <v>316</v>
      </c>
      <c r="B29" s="18" t="s">
        <v>317</v>
      </c>
      <c r="C29" s="18" t="s">
        <v>318</v>
      </c>
      <c r="D29" s="2" t="s">
        <v>283</v>
      </c>
      <c r="E29" s="2" t="s">
        <v>279</v>
      </c>
      <c r="H29" s="17" t="str">
        <f>IFERROR(__xludf.DUMMYFUNCTION("IF(REGEXMATCH(B29, ""weight""), ""Excess Weight"", """")"),"Excess Weight")</f>
        <v>Excess Weight</v>
      </c>
    </row>
    <row r="30" ht="15.75" customHeight="1">
      <c r="A30" s="18" t="s">
        <v>84</v>
      </c>
      <c r="B30" s="18" t="s">
        <v>319</v>
      </c>
      <c r="C30" s="18" t="s">
        <v>303</v>
      </c>
      <c r="D30" s="2" t="s">
        <v>295</v>
      </c>
      <c r="E30" s="2" t="s">
        <v>279</v>
      </c>
      <c r="H30" s="17" t="str">
        <f>IFERROR(__xludf.DUMMYFUNCTION("IF(REGEXMATCH(B30, ""weight""), ""Excess Weight"", """")"),"")</f>
        <v/>
      </c>
    </row>
    <row r="31" ht="15.75" customHeight="1">
      <c r="A31" s="18" t="s">
        <v>212</v>
      </c>
      <c r="B31" s="18" t="s">
        <v>320</v>
      </c>
      <c r="C31" s="18" t="s">
        <v>321</v>
      </c>
      <c r="D31" s="2" t="s">
        <v>279</v>
      </c>
      <c r="E31" s="2" t="s">
        <v>279</v>
      </c>
      <c r="H31" s="17" t="str">
        <f>IFERROR(__xludf.DUMMYFUNCTION("IF(REGEXMATCH(B31, ""weight""), ""Excess Weight"", """")"),"")</f>
        <v/>
      </c>
    </row>
    <row r="32" ht="15.75" customHeight="1">
      <c r="A32" s="18" t="s">
        <v>53</v>
      </c>
      <c r="B32" s="18" t="s">
        <v>322</v>
      </c>
      <c r="C32" s="18" t="s">
        <v>303</v>
      </c>
      <c r="D32" s="2" t="s">
        <v>323</v>
      </c>
      <c r="E32" s="2" t="s">
        <v>279</v>
      </c>
      <c r="H32" s="17" t="str">
        <f>IFERROR(__xludf.DUMMYFUNCTION("IF(REGEXMATCH(B32, ""weight""), ""Excess Weight"", """")"),"Excess Weight")</f>
        <v>Excess Weight</v>
      </c>
    </row>
    <row r="33" ht="15.75" customHeight="1">
      <c r="A33" s="18" t="s">
        <v>58</v>
      </c>
      <c r="B33" s="18" t="s">
        <v>322</v>
      </c>
      <c r="C33" s="18" t="s">
        <v>303</v>
      </c>
      <c r="D33" s="2" t="s">
        <v>323</v>
      </c>
      <c r="E33" s="2" t="s">
        <v>279</v>
      </c>
      <c r="H33" s="17" t="str">
        <f>IFERROR(__xludf.DUMMYFUNCTION("IF(REGEXMATCH(B33, ""weight""), ""Excess Weight"", """")"),"Excess Weight")</f>
        <v>Excess Weight</v>
      </c>
    </row>
    <row r="34" ht="15.75" customHeight="1">
      <c r="A34" s="18" t="s">
        <v>324</v>
      </c>
      <c r="B34" s="18" t="s">
        <v>322</v>
      </c>
      <c r="C34" s="18" t="s">
        <v>303</v>
      </c>
      <c r="D34" s="2" t="s">
        <v>323</v>
      </c>
      <c r="E34" s="2" t="s">
        <v>279</v>
      </c>
      <c r="H34" s="17" t="str">
        <f>IFERROR(__xludf.DUMMYFUNCTION("IF(REGEXMATCH(B34, ""weight""), ""Excess Weight"", """")"),"Excess Weight")</f>
        <v>Excess Weight</v>
      </c>
    </row>
    <row r="35" ht="15.75" customHeight="1">
      <c r="A35" s="18" t="s">
        <v>325</v>
      </c>
      <c r="B35" s="18" t="s">
        <v>326</v>
      </c>
      <c r="C35" s="18" t="s">
        <v>327</v>
      </c>
      <c r="D35" s="2" t="s">
        <v>279</v>
      </c>
      <c r="E35" s="2" t="s">
        <v>279</v>
      </c>
      <c r="H35" s="17" t="str">
        <f>IFERROR(__xludf.DUMMYFUNCTION("IF(REGEXMATCH(B35, ""weight""), ""Excess Weight"", """")"),"Excess Weight")</f>
        <v>Excess Weight</v>
      </c>
    </row>
    <row r="36" ht="15.75" customHeight="1">
      <c r="A36" s="18" t="s">
        <v>63</v>
      </c>
      <c r="B36" s="18" t="s">
        <v>328</v>
      </c>
      <c r="C36" s="18" t="s">
        <v>303</v>
      </c>
      <c r="D36" s="2" t="s">
        <v>279</v>
      </c>
      <c r="E36" s="2" t="s">
        <v>279</v>
      </c>
      <c r="H36" s="17" t="str">
        <f>IFERROR(__xludf.DUMMYFUNCTION("IF(REGEXMATCH(B36, ""weight""), ""Excess Weight"", """")"),"Excess Weight")</f>
        <v>Excess Weight</v>
      </c>
    </row>
    <row r="37" ht="15.75" customHeight="1">
      <c r="A37" s="18" t="s">
        <v>329</v>
      </c>
      <c r="B37" s="18" t="s">
        <v>330</v>
      </c>
      <c r="C37" s="18" t="s">
        <v>303</v>
      </c>
      <c r="D37" s="2" t="s">
        <v>279</v>
      </c>
      <c r="E37" s="2" t="s">
        <v>279</v>
      </c>
      <c r="H37" s="17" t="str">
        <f>IFERROR(__xludf.DUMMYFUNCTION("IF(REGEXMATCH(B37, ""weight""), ""Excess Weight"", """")"),"")</f>
        <v/>
      </c>
    </row>
    <row r="38" ht="15.75" customHeight="1">
      <c r="A38" s="18" t="s">
        <v>331</v>
      </c>
      <c r="B38" s="18" t="s">
        <v>332</v>
      </c>
      <c r="C38" s="18" t="s">
        <v>303</v>
      </c>
      <c r="D38" s="2" t="s">
        <v>279</v>
      </c>
      <c r="E38" s="2" t="s">
        <v>279</v>
      </c>
      <c r="H38" s="17" t="str">
        <f>IFERROR(__xludf.DUMMYFUNCTION("IF(REGEXMATCH(B38, ""weight""), ""Excess Weight"", """")"),"")</f>
        <v/>
      </c>
    </row>
    <row r="39" ht="15.75" customHeight="1">
      <c r="A39" s="18" t="s">
        <v>333</v>
      </c>
      <c r="B39" s="18" t="s">
        <v>334</v>
      </c>
      <c r="C39" s="18" t="s">
        <v>335</v>
      </c>
      <c r="D39" s="2" t="s">
        <v>279</v>
      </c>
      <c r="E39" s="2" t="s">
        <v>279</v>
      </c>
      <c r="H39" s="17" t="str">
        <f>IFERROR(__xludf.DUMMYFUNCTION("IF(REGEXMATCH(B39, ""weight""), ""Excess Weight"", """")"),"")</f>
        <v/>
      </c>
    </row>
    <row r="40" ht="15.75" customHeight="1">
      <c r="A40" s="18" t="s">
        <v>74</v>
      </c>
      <c r="B40" s="18" t="s">
        <v>336</v>
      </c>
      <c r="C40" s="18" t="s">
        <v>337</v>
      </c>
      <c r="D40" s="2" t="s">
        <v>279</v>
      </c>
      <c r="E40" s="2" t="s">
        <v>323</v>
      </c>
      <c r="H40" s="17" t="str">
        <f>IFERROR(__xludf.DUMMYFUNCTION("IF(REGEXMATCH(B40, ""weight""), ""Excess Weight"", """")"),"")</f>
        <v/>
      </c>
    </row>
    <row r="41" ht="15.75" customHeight="1">
      <c r="A41" s="18" t="s">
        <v>76</v>
      </c>
      <c r="B41" s="18" t="s">
        <v>338</v>
      </c>
      <c r="C41" s="18" t="s">
        <v>339</v>
      </c>
      <c r="D41" s="2" t="s">
        <v>283</v>
      </c>
      <c r="E41" s="2" t="s">
        <v>295</v>
      </c>
      <c r="H41" s="17" t="str">
        <f>IFERROR(__xludf.DUMMYFUNCTION("IF(REGEXMATCH(B41, ""weight""), ""Excess Weight"", """")"),"")</f>
        <v/>
      </c>
    </row>
    <row r="42" ht="47.25" customHeight="1">
      <c r="A42" s="18" t="s">
        <v>79</v>
      </c>
      <c r="B42" s="18" t="s">
        <v>340</v>
      </c>
      <c r="C42" s="18" t="s">
        <v>341</v>
      </c>
      <c r="D42" s="2" t="s">
        <v>323</v>
      </c>
      <c r="E42" s="2" t="s">
        <v>279</v>
      </c>
      <c r="H42" s="17" t="str">
        <f>IFERROR(__xludf.DUMMYFUNCTION("IF(REGEXMATCH(B42, ""weight""), ""Excess Weight"", """")"),"Excess Weight")</f>
        <v>Excess Weight</v>
      </c>
    </row>
    <row r="43" ht="15.75" customHeight="1">
      <c r="A43" s="18" t="s">
        <v>342</v>
      </c>
      <c r="B43" s="18" t="s">
        <v>303</v>
      </c>
      <c r="C43" s="18" t="s">
        <v>303</v>
      </c>
      <c r="D43" s="2" t="s">
        <v>279</v>
      </c>
      <c r="E43" s="2" t="s">
        <v>279</v>
      </c>
      <c r="H43" s="17" t="str">
        <f>IFERROR(__xludf.DUMMYFUNCTION("IF(REGEXMATCH(B43, ""weight""), ""Excess Weight"", """")"),"")</f>
        <v/>
      </c>
    </row>
    <row r="44" ht="15.75" customHeight="1">
      <c r="A44" s="18" t="s">
        <v>343</v>
      </c>
      <c r="B44" s="18" t="s">
        <v>303</v>
      </c>
      <c r="C44" s="18" t="s">
        <v>303</v>
      </c>
      <c r="D44" s="2" t="s">
        <v>279</v>
      </c>
      <c r="E44" s="2" t="s">
        <v>279</v>
      </c>
      <c r="H44" s="17" t="str">
        <f>IFERROR(__xludf.DUMMYFUNCTION("IF(REGEXMATCH(B44, ""weight""), ""Excess Weight"", """")"),"")</f>
        <v/>
      </c>
    </row>
    <row r="45" ht="15.75" customHeight="1">
      <c r="A45" s="18" t="s">
        <v>344</v>
      </c>
      <c r="B45" s="18" t="s">
        <v>345</v>
      </c>
      <c r="C45" s="19" t="s">
        <v>346</v>
      </c>
      <c r="D45" s="2" t="s">
        <v>279</v>
      </c>
      <c r="E45" s="2" t="s">
        <v>279</v>
      </c>
      <c r="H45" s="17" t="str">
        <f>IFERROR(__xludf.DUMMYFUNCTION("IF(REGEXMATCH(B45, ""weight""), ""Excess Weight"", """")"),"")</f>
        <v/>
      </c>
    </row>
    <row r="46" ht="51.0" customHeight="1">
      <c r="A46" s="18" t="s">
        <v>347</v>
      </c>
      <c r="B46" s="18" t="s">
        <v>348</v>
      </c>
      <c r="C46" s="18" t="s">
        <v>303</v>
      </c>
      <c r="D46" s="2" t="s">
        <v>279</v>
      </c>
      <c r="E46" s="2" t="s">
        <v>279</v>
      </c>
      <c r="H46" s="17" t="str">
        <f>IFERROR(__xludf.DUMMYFUNCTION("IF(REGEXMATCH(B46, ""weight""), ""Excess Weight"", """")"),"")</f>
        <v/>
      </c>
    </row>
    <row r="47" ht="15.75" customHeight="1">
      <c r="A47" s="18" t="s">
        <v>188</v>
      </c>
      <c r="B47" s="19" t="s">
        <v>349</v>
      </c>
      <c r="C47" s="19" t="s">
        <v>350</v>
      </c>
      <c r="D47" s="2" t="s">
        <v>283</v>
      </c>
      <c r="E47" s="2" t="s">
        <v>279</v>
      </c>
      <c r="H47" s="17" t="str">
        <f>IFERROR(__xludf.DUMMYFUNCTION("IF(REGEXMATCH(B47, ""weight""), ""Excess Weight"", """")"),"Excess Weight")</f>
        <v>Excess Weight</v>
      </c>
    </row>
    <row r="48" ht="72.0" customHeight="1">
      <c r="A48" s="18" t="s">
        <v>190</v>
      </c>
      <c r="B48" s="19" t="s">
        <v>351</v>
      </c>
      <c r="C48" s="19" t="s">
        <v>350</v>
      </c>
      <c r="D48" s="2" t="s">
        <v>283</v>
      </c>
      <c r="E48" s="2" t="s">
        <v>279</v>
      </c>
      <c r="H48" s="17" t="str">
        <f>IFERROR(__xludf.DUMMYFUNCTION("IF(REGEXMATCH(B48, ""weight""), ""Excess Weight"", """")"),"")</f>
        <v/>
      </c>
    </row>
    <row r="49" ht="15.75" customHeight="1">
      <c r="A49" s="18" t="s">
        <v>192</v>
      </c>
      <c r="B49" s="19" t="s">
        <v>352</v>
      </c>
      <c r="C49" s="19" t="s">
        <v>353</v>
      </c>
      <c r="D49" s="2" t="s">
        <v>279</v>
      </c>
      <c r="E49" s="2" t="s">
        <v>279</v>
      </c>
      <c r="F49" s="2" t="s">
        <v>354</v>
      </c>
      <c r="H49" s="17" t="str">
        <f>IFERROR(__xludf.DUMMYFUNCTION("IF(REGEXMATCH(B49, ""weight""), ""Excess Weight"", """")"),"")</f>
        <v/>
      </c>
    </row>
    <row r="50" ht="52.5" customHeight="1">
      <c r="A50" s="18" t="s">
        <v>194</v>
      </c>
      <c r="B50" s="18" t="s">
        <v>355</v>
      </c>
      <c r="C50" s="18" t="s">
        <v>356</v>
      </c>
      <c r="D50" s="2" t="s">
        <v>279</v>
      </c>
      <c r="E50" s="2" t="s">
        <v>279</v>
      </c>
      <c r="H50" s="17" t="str">
        <f>IFERROR(__xludf.DUMMYFUNCTION("IF(REGEXMATCH(B50, ""weight""), ""Excess Weight"", """")"),"")</f>
        <v/>
      </c>
    </row>
    <row r="51" ht="15.75" customHeight="1">
      <c r="A51" s="18" t="s">
        <v>196</v>
      </c>
      <c r="B51" s="18" t="s">
        <v>357</v>
      </c>
      <c r="C51" s="19" t="s">
        <v>358</v>
      </c>
      <c r="D51" s="2" t="s">
        <v>279</v>
      </c>
      <c r="E51" s="2" t="s">
        <v>279</v>
      </c>
      <c r="H51" s="17" t="str">
        <f>IFERROR(__xludf.DUMMYFUNCTION("IF(REGEXMATCH(B51, ""weight""), ""Excess Weight"", """")"),"")</f>
        <v/>
      </c>
    </row>
    <row r="52" ht="15.75" customHeight="1">
      <c r="A52" s="18" t="s">
        <v>198</v>
      </c>
      <c r="B52" s="18" t="s">
        <v>359</v>
      </c>
      <c r="C52" s="18" t="s">
        <v>303</v>
      </c>
      <c r="D52" s="2" t="s">
        <v>279</v>
      </c>
      <c r="E52" s="2" t="s">
        <v>279</v>
      </c>
      <c r="H52" s="17" t="str">
        <f>IFERROR(__xludf.DUMMYFUNCTION("IF(REGEXMATCH(B52, ""weight""), ""Excess Weight"", """")"),"")</f>
        <v/>
      </c>
    </row>
    <row r="53" ht="15.75" customHeight="1">
      <c r="A53" s="18" t="s">
        <v>200</v>
      </c>
      <c r="B53" s="18" t="s">
        <v>360</v>
      </c>
      <c r="C53" s="18" t="s">
        <v>361</v>
      </c>
      <c r="D53" s="2" t="s">
        <v>283</v>
      </c>
      <c r="E53" s="2" t="s">
        <v>279</v>
      </c>
      <c r="H53" s="17" t="str">
        <f>IFERROR(__xludf.DUMMYFUNCTION("IF(REGEXMATCH(B53, ""weight""), ""Excess Weight"", """")"),"")</f>
        <v/>
      </c>
    </row>
    <row r="54" ht="15.75" customHeight="1">
      <c r="A54" s="18" t="s">
        <v>362</v>
      </c>
      <c r="B54" s="18" t="s">
        <v>363</v>
      </c>
      <c r="C54" s="18" t="s">
        <v>303</v>
      </c>
      <c r="D54" s="2" t="s">
        <v>279</v>
      </c>
      <c r="E54" s="2" t="s">
        <v>279</v>
      </c>
      <c r="H54" s="17" t="str">
        <f>IFERROR(__xludf.DUMMYFUNCTION("IF(REGEXMATCH(B54, ""weight""), ""Excess Weight"", """")"),"")</f>
        <v/>
      </c>
    </row>
    <row r="55" ht="15.75" customHeight="1">
      <c r="A55" s="18" t="s">
        <v>158</v>
      </c>
      <c r="B55" s="18" t="s">
        <v>364</v>
      </c>
      <c r="C55" s="18" t="s">
        <v>365</v>
      </c>
      <c r="D55" s="2" t="s">
        <v>279</v>
      </c>
      <c r="E55" s="2" t="s">
        <v>279</v>
      </c>
      <c r="H55" s="17" t="str">
        <f>IFERROR(__xludf.DUMMYFUNCTION("IF(REGEXMATCH(B55, ""weight""), ""Excess Weight"", """")"),"")</f>
        <v/>
      </c>
    </row>
    <row r="56" ht="15.75" customHeight="1">
      <c r="A56" s="18" t="s">
        <v>366</v>
      </c>
      <c r="B56" s="18" t="s">
        <v>367</v>
      </c>
      <c r="C56" s="18" t="s">
        <v>368</v>
      </c>
      <c r="D56" s="2" t="s">
        <v>279</v>
      </c>
      <c r="E56" s="2" t="s">
        <v>279</v>
      </c>
      <c r="H56" s="17" t="str">
        <f>IFERROR(__xludf.DUMMYFUNCTION("IF(REGEXMATCH(B56, ""weight""), ""Excess Weight"", """")"),"")</f>
        <v/>
      </c>
    </row>
    <row r="57" ht="15.75" customHeight="1">
      <c r="A57" s="18" t="s">
        <v>161</v>
      </c>
      <c r="B57" s="18" t="s">
        <v>367</v>
      </c>
      <c r="C57" s="18" t="s">
        <v>368</v>
      </c>
      <c r="D57" s="2" t="s">
        <v>279</v>
      </c>
      <c r="E57" s="2" t="s">
        <v>279</v>
      </c>
      <c r="H57" s="17" t="str">
        <f>IFERROR(__xludf.DUMMYFUNCTION("IF(REGEXMATCH(B57, ""weight""), ""Excess Weight"", """")"),"")</f>
        <v/>
      </c>
    </row>
    <row r="58" ht="15.75" customHeight="1">
      <c r="A58" s="18" t="s">
        <v>163</v>
      </c>
      <c r="B58" s="18" t="s">
        <v>369</v>
      </c>
      <c r="C58" s="18" t="s">
        <v>370</v>
      </c>
      <c r="D58" s="2" t="s">
        <v>279</v>
      </c>
      <c r="E58" s="2" t="s">
        <v>279</v>
      </c>
      <c r="H58" s="17" t="str">
        <f>IFERROR(__xludf.DUMMYFUNCTION("IF(REGEXMATCH(B58, ""weight""), ""Excess Weight"", """")"),"")</f>
        <v/>
      </c>
    </row>
    <row r="59" ht="15.75" customHeight="1">
      <c r="A59" s="18" t="s">
        <v>165</v>
      </c>
      <c r="B59" s="18" t="s">
        <v>371</v>
      </c>
      <c r="C59" s="18" t="s">
        <v>372</v>
      </c>
      <c r="D59" s="2" t="s">
        <v>279</v>
      </c>
      <c r="E59" s="2" t="s">
        <v>279</v>
      </c>
      <c r="H59" s="17" t="str">
        <f>IFERROR(__xludf.DUMMYFUNCTION("IF(REGEXMATCH(B59, ""weight""), ""Excess Weight"", """")"),"")</f>
        <v/>
      </c>
    </row>
    <row r="60" ht="15.75" customHeight="1">
      <c r="A60" s="18" t="s">
        <v>168</v>
      </c>
      <c r="B60" s="18" t="s">
        <v>373</v>
      </c>
      <c r="C60" s="18" t="s">
        <v>374</v>
      </c>
      <c r="D60" s="2" t="s">
        <v>279</v>
      </c>
      <c r="E60" s="2" t="s">
        <v>279</v>
      </c>
      <c r="H60" s="17" t="str">
        <f>IFERROR(__xludf.DUMMYFUNCTION("IF(REGEXMATCH(B60, ""weight""), ""Excess Weight"", """")"),"")</f>
        <v/>
      </c>
    </row>
    <row r="61" ht="15.75" customHeight="1">
      <c r="A61" s="18" t="s">
        <v>170</v>
      </c>
      <c r="B61" s="18" t="s">
        <v>375</v>
      </c>
      <c r="C61" s="18" t="s">
        <v>376</v>
      </c>
      <c r="D61" s="2" t="s">
        <v>279</v>
      </c>
      <c r="E61" s="2" t="s">
        <v>279</v>
      </c>
      <c r="H61" s="17" t="str">
        <f>IFERROR(__xludf.DUMMYFUNCTION("IF(REGEXMATCH(B61, ""weight""), ""Excess Weight"", """")"),"")</f>
        <v/>
      </c>
    </row>
    <row r="62" ht="15.75" customHeight="1">
      <c r="A62" s="18" t="s">
        <v>172</v>
      </c>
      <c r="B62" s="18" t="s">
        <v>377</v>
      </c>
      <c r="C62" s="18" t="s">
        <v>378</v>
      </c>
      <c r="D62" s="2" t="s">
        <v>295</v>
      </c>
      <c r="E62" s="2" t="s">
        <v>279</v>
      </c>
      <c r="H62" s="17" t="str">
        <f>IFERROR(__xludf.DUMMYFUNCTION("IF(REGEXMATCH(B62, ""weight""), ""Excess Weight"", """")"),"")</f>
        <v/>
      </c>
    </row>
    <row r="63" ht="15.75" customHeight="1">
      <c r="A63" s="18" t="s">
        <v>174</v>
      </c>
      <c r="B63" s="18" t="s">
        <v>379</v>
      </c>
      <c r="C63" s="18" t="s">
        <v>380</v>
      </c>
      <c r="D63" s="2" t="s">
        <v>279</v>
      </c>
      <c r="E63" s="2" t="s">
        <v>283</v>
      </c>
      <c r="H63" s="17" t="str">
        <f>IFERROR(__xludf.DUMMYFUNCTION("IF(REGEXMATCH(B63, ""weight""), ""Excess Weight"", """")"),"")</f>
        <v/>
      </c>
    </row>
    <row r="64" ht="15.75" customHeight="1">
      <c r="A64" s="18" t="s">
        <v>176</v>
      </c>
      <c r="B64" s="18" t="s">
        <v>381</v>
      </c>
      <c r="C64" s="18" t="s">
        <v>382</v>
      </c>
      <c r="D64" s="2" t="s">
        <v>279</v>
      </c>
      <c r="E64" s="2" t="s">
        <v>279</v>
      </c>
      <c r="H64" s="17" t="str">
        <f>IFERROR(__xludf.DUMMYFUNCTION("IF(REGEXMATCH(B64, ""weight""), ""Excess Weight"", """")"),"")</f>
        <v/>
      </c>
    </row>
    <row r="65" ht="35.25" customHeight="1">
      <c r="A65" s="18" t="s">
        <v>179</v>
      </c>
      <c r="B65" s="18" t="s">
        <v>383</v>
      </c>
      <c r="C65" s="18" t="s">
        <v>384</v>
      </c>
      <c r="D65" s="2" t="s">
        <v>279</v>
      </c>
      <c r="E65" s="2" t="s">
        <v>279</v>
      </c>
      <c r="H65" s="17" t="str">
        <f>IFERROR(__xludf.DUMMYFUNCTION("IF(REGEXMATCH(B65, ""weight""), ""Excess Weight"", """")"),"")</f>
        <v/>
      </c>
    </row>
    <row r="66" ht="15.75" customHeight="1">
      <c r="A66" s="18" t="s">
        <v>205</v>
      </c>
      <c r="B66" s="18" t="s">
        <v>385</v>
      </c>
      <c r="C66" s="18" t="s">
        <v>386</v>
      </c>
      <c r="D66" s="2" t="s">
        <v>279</v>
      </c>
      <c r="E66" s="2" t="s">
        <v>279</v>
      </c>
      <c r="H66" s="17" t="str">
        <f>IFERROR(__xludf.DUMMYFUNCTION("IF(REGEXMATCH(B66, ""weight""), ""Excess Weight"", """")"),"")</f>
        <v/>
      </c>
    </row>
    <row r="67" ht="15.75" customHeight="1">
      <c r="A67" s="18" t="s">
        <v>209</v>
      </c>
      <c r="B67" s="18" t="s">
        <v>385</v>
      </c>
      <c r="C67" s="18" t="s">
        <v>387</v>
      </c>
      <c r="D67" s="2" t="s">
        <v>279</v>
      </c>
      <c r="E67" s="2" t="s">
        <v>279</v>
      </c>
      <c r="H67" s="17" t="str">
        <f>IFERROR(__xludf.DUMMYFUNCTION("IF(REGEXMATCH(B67, ""weight""), ""Excess Weight"", """")"),"")</f>
        <v/>
      </c>
    </row>
    <row r="68" ht="15.75" customHeight="1">
      <c r="A68" s="18" t="s">
        <v>210</v>
      </c>
      <c r="B68" s="18" t="s">
        <v>388</v>
      </c>
      <c r="C68" s="18" t="s">
        <v>389</v>
      </c>
      <c r="D68" s="2" t="s">
        <v>279</v>
      </c>
      <c r="E68" s="2" t="s">
        <v>279</v>
      </c>
      <c r="H68" s="17" t="str">
        <f>IFERROR(__xludf.DUMMYFUNCTION("IF(REGEXMATCH(B68, ""weight""), ""Excess Weight"", """")"),"")</f>
        <v/>
      </c>
    </row>
    <row r="69" ht="15.75" customHeight="1">
      <c r="A69" s="18" t="s">
        <v>249</v>
      </c>
      <c r="B69" s="18" t="s">
        <v>390</v>
      </c>
      <c r="C69" s="18" t="s">
        <v>303</v>
      </c>
      <c r="D69" s="2" t="s">
        <v>279</v>
      </c>
      <c r="E69" s="2" t="s">
        <v>279</v>
      </c>
      <c r="H69" s="17" t="str">
        <f>IFERROR(__xludf.DUMMYFUNCTION("IF(REGEXMATCH(B69, ""weight""), ""Excess Weight"", """")"),"")</f>
        <v/>
      </c>
    </row>
    <row r="70" ht="15.75" customHeight="1">
      <c r="A70" s="18" t="s">
        <v>252</v>
      </c>
      <c r="B70" s="18" t="s">
        <v>390</v>
      </c>
      <c r="C70" s="18" t="s">
        <v>303</v>
      </c>
      <c r="D70" s="2" t="s">
        <v>279</v>
      </c>
      <c r="E70" s="2" t="s">
        <v>279</v>
      </c>
      <c r="H70" s="17" t="str">
        <f>IFERROR(__xludf.DUMMYFUNCTION("IF(REGEXMATCH(B70, ""weight""), ""Excess Weight"", """")"),"")</f>
        <v/>
      </c>
    </row>
    <row r="71" ht="15.75" customHeight="1">
      <c r="A71" s="18" t="s">
        <v>391</v>
      </c>
      <c r="B71" s="18" t="s">
        <v>392</v>
      </c>
      <c r="C71" s="18" t="s">
        <v>303</v>
      </c>
      <c r="D71" s="2" t="s">
        <v>279</v>
      </c>
      <c r="E71" s="2" t="s">
        <v>279</v>
      </c>
      <c r="H71" s="17" t="str">
        <f>IFERROR(__xludf.DUMMYFUNCTION("IF(REGEXMATCH(B71, ""weight""), ""Excess Weight"", """")"),"")</f>
        <v/>
      </c>
    </row>
    <row r="72" ht="15.75" customHeight="1">
      <c r="A72" s="2" t="s">
        <v>146</v>
      </c>
      <c r="B72" s="20" t="s">
        <v>393</v>
      </c>
      <c r="C72" s="2" t="s">
        <v>394</v>
      </c>
      <c r="D72" s="2" t="s">
        <v>283</v>
      </c>
      <c r="E72" s="2" t="s">
        <v>279</v>
      </c>
      <c r="H72" s="17" t="str">
        <f>IFERROR(__xludf.DUMMYFUNCTION("IF(REGEXMATCH(B72, ""weight""), ""Excess Weight"", """")"),"")</f>
        <v/>
      </c>
    </row>
    <row r="73" ht="15.75" customHeight="1">
      <c r="A73" s="2" t="s">
        <v>181</v>
      </c>
      <c r="B73" s="19" t="s">
        <v>364</v>
      </c>
      <c r="C73" s="19" t="s">
        <v>365</v>
      </c>
      <c r="D73" s="2" t="s">
        <v>279</v>
      </c>
      <c r="E73" s="2" t="s">
        <v>279</v>
      </c>
      <c r="H73" s="17" t="str">
        <f>IFERROR(__xludf.DUMMYFUNCTION("IF(REGEXMATCH(B73, ""weight""), ""Excess Weight"", """")"),"")</f>
        <v/>
      </c>
    </row>
    <row r="74" ht="165.75" customHeight="1">
      <c r="A74" s="2" t="s">
        <v>254</v>
      </c>
      <c r="B74" s="20" t="s">
        <v>395</v>
      </c>
      <c r="C74" s="2" t="s">
        <v>303</v>
      </c>
      <c r="D74" s="2" t="s">
        <v>279</v>
      </c>
      <c r="E74" s="2" t="s">
        <v>279</v>
      </c>
      <c r="H74" s="17" t="str">
        <f>IFERROR(__xludf.DUMMYFUNCTION("IF(REGEXMATCH(B74, ""weight""), ""Excess Weight"", """")"),"")</f>
        <v/>
      </c>
    </row>
    <row r="75" ht="53.25" customHeight="1">
      <c r="A75" s="2" t="s">
        <v>256</v>
      </c>
      <c r="B75" s="20" t="s">
        <v>396</v>
      </c>
      <c r="C75" s="2" t="s">
        <v>397</v>
      </c>
      <c r="D75" s="2" t="s">
        <v>279</v>
      </c>
      <c r="E75" s="2" t="s">
        <v>279</v>
      </c>
      <c r="H75" s="17" t="str">
        <f>IFERROR(__xludf.DUMMYFUNCTION("IF(REGEXMATCH(B75, ""weight""), ""Excess Weight"", """")"),"Excess Weight")</f>
        <v>Excess Weight</v>
      </c>
    </row>
    <row r="76" ht="35.25" customHeight="1">
      <c r="A76" s="2" t="s">
        <v>258</v>
      </c>
      <c r="B76" s="2" t="s">
        <v>398</v>
      </c>
      <c r="C76" s="2" t="s">
        <v>399</v>
      </c>
      <c r="D76" s="2" t="s">
        <v>279</v>
      </c>
      <c r="E76" s="2" t="s">
        <v>279</v>
      </c>
      <c r="H76" s="17" t="str">
        <f>IFERROR(__xludf.DUMMYFUNCTION("IF(REGEXMATCH(B76, ""weight""), ""Excess Weight"", """")"),"Excess Weight")</f>
        <v>Excess Weight</v>
      </c>
    </row>
    <row r="77" ht="15.75" customHeight="1">
      <c r="A77" s="2" t="s">
        <v>400</v>
      </c>
      <c r="B77" s="2" t="s">
        <v>401</v>
      </c>
      <c r="C77" s="2" t="s">
        <v>303</v>
      </c>
      <c r="D77" s="2" t="s">
        <v>279</v>
      </c>
      <c r="E77" s="2" t="s">
        <v>279</v>
      </c>
      <c r="H77" s="17" t="str">
        <f>IFERROR(__xludf.DUMMYFUNCTION("IF(REGEXMATCH(B77, ""weight""), ""Excess Weight"", """")"),"")</f>
        <v/>
      </c>
    </row>
    <row r="78" ht="15.75" customHeight="1">
      <c r="A78" s="13" t="s">
        <v>402</v>
      </c>
      <c r="B78" s="2" t="s">
        <v>403</v>
      </c>
      <c r="C78" s="2" t="s">
        <v>303</v>
      </c>
      <c r="D78" s="2" t="s">
        <v>279</v>
      </c>
      <c r="E78" s="2" t="s">
        <v>279</v>
      </c>
      <c r="H78" s="17" t="str">
        <f>IFERROR(__xludf.DUMMYFUNCTION("IF(REGEXMATCH(B78, ""weight""), ""Excess Weight"", """")"),"")</f>
        <v/>
      </c>
    </row>
    <row r="79" ht="15.75" customHeight="1">
      <c r="A79" s="2" t="s">
        <v>266</v>
      </c>
      <c r="B79" s="2" t="s">
        <v>404</v>
      </c>
      <c r="C79" s="2" t="s">
        <v>303</v>
      </c>
      <c r="D79" s="2" t="s">
        <v>279</v>
      </c>
      <c r="E79" s="2" t="s">
        <v>279</v>
      </c>
      <c r="H79" s="17" t="str">
        <f>IFERROR(__xludf.DUMMYFUNCTION("IF(REGEXMATCH(B79, ""weight""), ""Excess Weight"", """")"),"")</f>
        <v/>
      </c>
    </row>
    <row r="80" ht="15.75" customHeight="1">
      <c r="A80" s="2" t="s">
        <v>269</v>
      </c>
      <c r="B80" s="2" t="s">
        <v>403</v>
      </c>
      <c r="C80" s="2" t="s">
        <v>303</v>
      </c>
      <c r="D80" s="2" t="s">
        <v>279</v>
      </c>
      <c r="E80" s="2" t="s">
        <v>279</v>
      </c>
      <c r="H80" s="17" t="str">
        <f>IFERROR(__xludf.DUMMYFUNCTION("IF(REGEXMATCH(B80, ""weight""), ""Excess Weight"", """")"),"")</f>
        <v/>
      </c>
    </row>
    <row r="81" ht="129.75" customHeight="1">
      <c r="A81" s="14" t="s">
        <v>271</v>
      </c>
      <c r="B81" s="14" t="s">
        <v>405</v>
      </c>
      <c r="C81" s="14" t="s">
        <v>406</v>
      </c>
      <c r="D81" s="2" t="s">
        <v>279</v>
      </c>
      <c r="E81" s="2" t="s">
        <v>279</v>
      </c>
      <c r="H81" s="17" t="str">
        <f>IFERROR(__xludf.DUMMYFUNCTION("IF(REGEXMATCH(B81, ""weight""), ""Excess Weight"", """")"),"")</f>
        <v/>
      </c>
    </row>
    <row r="82" ht="15.75" customHeight="1">
      <c r="B82" s="14"/>
      <c r="C82" s="14"/>
      <c r="D82" s="2" t="s">
        <v>279</v>
      </c>
      <c r="E82" s="2" t="s">
        <v>279</v>
      </c>
      <c r="H82" s="17" t="str">
        <f>IFERROR(__xludf.DUMMYFUNCTION("IF(REGEXMATCH(B82, ""weight""), ""Excess Weight"", """")"),"")</f>
        <v/>
      </c>
    </row>
    <row r="83" ht="15.75" customHeight="1">
      <c r="B83" s="14"/>
      <c r="C83" s="14"/>
      <c r="D83" s="2" t="s">
        <v>279</v>
      </c>
      <c r="E83" s="2" t="s">
        <v>279</v>
      </c>
      <c r="H83" s="17" t="str">
        <f>IFERROR(__xludf.DUMMYFUNCTION("IF(REGEXMATCH(B83, ""weight""), ""Excess Weight"", """")"),"")</f>
        <v/>
      </c>
    </row>
    <row r="84" ht="15.75" customHeight="1">
      <c r="B84" s="14"/>
      <c r="C84" s="14"/>
      <c r="D84" s="2" t="s">
        <v>279</v>
      </c>
      <c r="E84" s="2" t="s">
        <v>279</v>
      </c>
      <c r="H84" s="17" t="str">
        <f>IFERROR(__xludf.DUMMYFUNCTION("IF(REGEXMATCH(B84, ""Weight""), ""Excess Weight"", """")"),"")</f>
        <v/>
      </c>
    </row>
    <row r="85" ht="15.75" customHeight="1">
      <c r="B85" s="14"/>
      <c r="C85" s="14"/>
      <c r="D85" s="2" t="s">
        <v>279</v>
      </c>
      <c r="E85" s="2" t="s">
        <v>279</v>
      </c>
      <c r="H85" s="17" t="str">
        <f>IFERROR(__xludf.DUMMYFUNCTION("IF(REGEXMATCH(B85, ""Weight""), ""Excess Weight"", """")"),"")</f>
        <v/>
      </c>
    </row>
    <row r="86" ht="15.75" customHeight="1">
      <c r="B86" s="14"/>
      <c r="D86" s="2" t="s">
        <v>279</v>
      </c>
      <c r="E86" s="2" t="s">
        <v>279</v>
      </c>
      <c r="H86" s="17" t="str">
        <f>IFERROR(__xludf.DUMMYFUNCTION("IF(REGEXMATCH(B86, ""Weight""), ""Excess Weight"", """")"),"")</f>
        <v/>
      </c>
    </row>
    <row r="87" ht="15.75" customHeight="1">
      <c r="B87" s="14"/>
      <c r="D87" s="2" t="s">
        <v>279</v>
      </c>
      <c r="E87" s="2" t="s">
        <v>279</v>
      </c>
      <c r="H87" s="17" t="str">
        <f>IFERROR(__xludf.DUMMYFUNCTION("IF(REGEXMATCH(B87, ""Weight""), ""Excess Weight"", """")"),"")</f>
        <v/>
      </c>
    </row>
    <row r="88" ht="15.75" customHeight="1">
      <c r="B88" s="14"/>
      <c r="D88" s="2" t="s">
        <v>279</v>
      </c>
      <c r="E88" s="2" t="s">
        <v>279</v>
      </c>
      <c r="H88" s="17" t="str">
        <f>IFERROR(__xludf.DUMMYFUNCTION("IF(REGEXMATCH(B88, ""Weight""), ""Excess Weight"", """")"),"")</f>
        <v/>
      </c>
    </row>
    <row r="89" ht="15.75" customHeight="1">
      <c r="B89" s="14"/>
      <c r="D89" s="2" t="s">
        <v>279</v>
      </c>
      <c r="E89" s="2" t="s">
        <v>279</v>
      </c>
      <c r="H89" s="17" t="str">
        <f>IFERROR(__xludf.DUMMYFUNCTION("IF(REGEXMATCH(B89, ""Weight""), ""Excess Weight"", """")"),"")</f>
        <v/>
      </c>
    </row>
    <row r="90" ht="15.75" customHeight="1">
      <c r="B90" s="14"/>
      <c r="H90" s="17" t="str">
        <f>IFERROR(__xludf.DUMMYFUNCTION("IF(REGEXMATCH(B90, ""Weight""), ""Excess Weight"", """")"),"")</f>
        <v/>
      </c>
    </row>
    <row r="91" ht="15.75" customHeight="1">
      <c r="B91" s="20"/>
      <c r="H91" s="17" t="str">
        <f>IFERROR(__xludf.DUMMYFUNCTION("IF(REGEXMATCH(B91, ""Weight""), ""Excess Weight"", """")"),"")</f>
        <v/>
      </c>
    </row>
    <row r="92" ht="15.75" customHeight="1">
      <c r="B92" s="20"/>
      <c r="H92" s="17" t="str">
        <f>IFERROR(__xludf.DUMMYFUNCTION("IF(REGEXMATCH(B92, ""Weight""), ""Excess Weight"", """")"),"")</f>
        <v/>
      </c>
    </row>
    <row r="93" ht="15.75" customHeight="1">
      <c r="B93" s="20"/>
      <c r="H93" s="17" t="str">
        <f>IFERROR(__xludf.DUMMYFUNCTION("IF(REGEXMATCH(B93, ""Weight""), ""Excess Weight"", """")"),"")</f>
        <v/>
      </c>
    </row>
    <row r="94" ht="15.75" customHeight="1">
      <c r="B94" s="20"/>
      <c r="H94" s="17" t="str">
        <f>IFERROR(__xludf.DUMMYFUNCTION("IF(REGEXMATCH(B94, ""Weight""), ""Excess Weight"", """")"),"")</f>
        <v/>
      </c>
    </row>
    <row r="95" ht="15.75" customHeight="1">
      <c r="B95" s="20"/>
      <c r="H95" s="17" t="str">
        <f>IFERROR(__xludf.DUMMYFUNCTION("IF(REGEXMATCH(B95, ""Weight""), ""Excess Weight"", """")"),"")</f>
        <v/>
      </c>
    </row>
    <row r="96" ht="15.75" customHeight="1">
      <c r="B96" s="20"/>
      <c r="H96" s="17" t="str">
        <f>IFERROR(__xludf.DUMMYFUNCTION("IF(REGEXMATCH(B96, ""Weight""), ""Excess Weight"", """")"),"")</f>
        <v/>
      </c>
    </row>
    <row r="97" ht="15.75" customHeight="1">
      <c r="B97" s="20"/>
      <c r="H97" s="17" t="str">
        <f>IFERROR(__xludf.DUMMYFUNCTION("IF(REGEXMATCH(B97, ""Weight""), ""Excess Weight"", """")"),"")</f>
        <v/>
      </c>
    </row>
    <row r="98" ht="15.75" customHeight="1">
      <c r="B98" s="20"/>
      <c r="H98" s="17" t="str">
        <f>IFERROR(__xludf.DUMMYFUNCTION("IF(REGEXMATCH(B98, ""Weight""), ""Excess Weight"", """")"),"")</f>
        <v/>
      </c>
    </row>
    <row r="99" ht="15.75" customHeight="1">
      <c r="B99" s="20"/>
      <c r="H99" s="17" t="str">
        <f>IFERROR(__xludf.DUMMYFUNCTION("IF(REGEXMATCH(B99, ""Weight""), ""Excess Weight"", """")"),"")</f>
        <v/>
      </c>
    </row>
    <row r="100" ht="15.75" customHeight="1">
      <c r="B100" s="20"/>
      <c r="H100" s="17" t="str">
        <f>IFERROR(__xludf.DUMMYFUNCTION("IF(REGEXMATCH(B100, ""Weight""), ""Excess Weight"", """")"),"")</f>
        <v/>
      </c>
    </row>
    <row r="101" ht="15.75" customHeight="1">
      <c r="B101" s="20"/>
    </row>
    <row r="102" ht="15.75" customHeight="1">
      <c r="B102" s="20"/>
    </row>
    <row r="103" ht="15.75" customHeight="1">
      <c r="B103" s="20"/>
    </row>
    <row r="104" ht="15.75" customHeight="1">
      <c r="B104" s="20"/>
    </row>
    <row r="105" ht="15.75" customHeight="1">
      <c r="B105" s="20"/>
    </row>
    <row r="106" ht="15.75" customHeight="1">
      <c r="B106" s="20"/>
    </row>
    <row r="107" ht="15.75" customHeight="1">
      <c r="B107" s="20"/>
    </row>
    <row r="108" ht="15.75" customHeight="1">
      <c r="B108" s="20"/>
    </row>
    <row r="109" ht="15.75" customHeight="1">
      <c r="B109" s="20"/>
    </row>
    <row r="110" ht="15.75" customHeight="1">
      <c r="B110" s="20"/>
    </row>
    <row r="111" ht="15.75" customHeight="1">
      <c r="B111" s="20"/>
    </row>
    <row r="112" ht="15.75" customHeight="1">
      <c r="B112" s="20"/>
    </row>
    <row r="113" ht="15.75" customHeight="1">
      <c r="B113" s="20"/>
    </row>
    <row r="114" ht="15.75" customHeight="1">
      <c r="B114" s="20"/>
    </row>
    <row r="115" ht="15.75" customHeight="1">
      <c r="B115" s="20"/>
    </row>
    <row r="116" ht="15.75" customHeight="1">
      <c r="B116" s="20"/>
    </row>
    <row r="117" ht="15.75" customHeight="1">
      <c r="B117" s="20"/>
    </row>
    <row r="118" ht="15.75" customHeight="1">
      <c r="B118" s="20"/>
    </row>
    <row r="119" ht="15.75" customHeight="1">
      <c r="B119" s="20"/>
    </row>
    <row r="120" ht="15.75" customHeight="1">
      <c r="B120" s="20"/>
    </row>
    <row r="121" ht="15.75" customHeight="1">
      <c r="B121" s="20"/>
    </row>
    <row r="122" ht="15.75" customHeight="1">
      <c r="B122" s="20"/>
    </row>
    <row r="123" ht="15.75" customHeight="1">
      <c r="B123" s="20"/>
    </row>
    <row r="124" ht="15.75" customHeight="1">
      <c r="B124" s="20"/>
    </row>
    <row r="125" ht="15.75" customHeight="1">
      <c r="B125" s="20"/>
    </row>
    <row r="126" ht="15.75" customHeight="1">
      <c r="B126" s="20"/>
    </row>
    <row r="127" ht="15.75" customHeight="1">
      <c r="B127" s="20"/>
    </row>
    <row r="128" ht="15.75" customHeight="1">
      <c r="B128" s="20"/>
    </row>
    <row r="129" ht="15.75" customHeight="1">
      <c r="B129" s="20"/>
    </row>
    <row r="130" ht="15.75" customHeight="1">
      <c r="B130" s="20"/>
    </row>
    <row r="131" ht="15.75" customHeight="1">
      <c r="B131" s="20"/>
    </row>
    <row r="132" ht="15.75" customHeight="1">
      <c r="B132" s="20"/>
    </row>
    <row r="133" ht="15.75" customHeight="1">
      <c r="B133" s="20"/>
    </row>
    <row r="134" ht="15.75" customHeight="1">
      <c r="B134" s="20"/>
    </row>
    <row r="135" ht="15.75" customHeight="1">
      <c r="B135" s="20"/>
    </row>
    <row r="136" ht="15.75" customHeight="1">
      <c r="B136" s="20"/>
    </row>
    <row r="137" ht="15.75" customHeight="1">
      <c r="B137" s="20"/>
    </row>
    <row r="138" ht="15.75" customHeight="1">
      <c r="B138" s="20"/>
    </row>
    <row r="139" ht="15.75" customHeight="1">
      <c r="B139" s="20"/>
    </row>
    <row r="140" ht="15.75" customHeight="1">
      <c r="B140" s="20"/>
    </row>
    <row r="141" ht="15.75" customHeight="1">
      <c r="B141" s="20"/>
    </row>
    <row r="142" ht="15.75" customHeight="1">
      <c r="B142" s="20"/>
    </row>
    <row r="143" ht="15.75" customHeight="1">
      <c r="B143" s="20"/>
    </row>
    <row r="144" ht="15.75" customHeight="1">
      <c r="B144" s="20"/>
    </row>
    <row r="145" ht="15.75" customHeight="1">
      <c r="B145" s="20"/>
    </row>
    <row r="146" ht="15.75" customHeight="1">
      <c r="B146" s="20"/>
    </row>
    <row r="147" ht="15.75" customHeight="1">
      <c r="B147" s="20"/>
    </row>
    <row r="148" ht="15.75" customHeight="1">
      <c r="B148" s="20"/>
    </row>
    <row r="149" ht="15.75" customHeight="1">
      <c r="B149" s="20"/>
    </row>
    <row r="150" ht="15.75" customHeight="1">
      <c r="B150" s="20"/>
    </row>
    <row r="151" ht="15.75" customHeight="1">
      <c r="B151" s="20"/>
    </row>
    <row r="152" ht="15.75" customHeight="1">
      <c r="B152" s="20"/>
    </row>
    <row r="153" ht="15.75" customHeight="1">
      <c r="B153" s="20"/>
    </row>
    <row r="154" ht="15.75" customHeight="1">
      <c r="B154" s="20"/>
    </row>
    <row r="155" ht="15.75" customHeight="1">
      <c r="B155" s="20"/>
    </row>
    <row r="156" ht="15.75" customHeight="1">
      <c r="B156" s="20"/>
    </row>
    <row r="157" ht="15.75" customHeight="1">
      <c r="B157" s="20"/>
    </row>
    <row r="158" ht="15.75" customHeight="1">
      <c r="B158" s="20"/>
    </row>
    <row r="159" ht="15.75" customHeight="1">
      <c r="B159" s="20"/>
    </row>
    <row r="160" ht="15.75" customHeight="1">
      <c r="B160" s="20"/>
    </row>
    <row r="161" ht="15.75" customHeight="1">
      <c r="B161" s="20"/>
    </row>
    <row r="162" ht="15.75" customHeight="1">
      <c r="B162" s="20"/>
    </row>
    <row r="163" ht="15.75" customHeight="1">
      <c r="B163" s="20"/>
    </row>
    <row r="164" ht="15.75" customHeight="1">
      <c r="B164" s="20"/>
    </row>
    <row r="165" ht="15.75" customHeight="1">
      <c r="B165" s="20"/>
    </row>
    <row r="166" ht="15.75" customHeight="1">
      <c r="B166" s="20"/>
    </row>
    <row r="167" ht="15.75" customHeight="1">
      <c r="B167" s="20"/>
    </row>
    <row r="168" ht="15.75" customHeight="1">
      <c r="B168" s="20"/>
    </row>
    <row r="169" ht="15.75" customHeight="1">
      <c r="B169" s="20"/>
    </row>
    <row r="170" ht="15.75" customHeight="1">
      <c r="B170" s="20"/>
    </row>
    <row r="171" ht="15.75" customHeight="1">
      <c r="B171" s="20"/>
    </row>
    <row r="172" ht="15.75" customHeight="1">
      <c r="B172" s="20"/>
    </row>
    <row r="173" ht="15.75" customHeight="1">
      <c r="B173" s="20"/>
    </row>
    <row r="174" ht="15.75" customHeight="1">
      <c r="B174" s="20"/>
    </row>
    <row r="175" ht="15.75" customHeight="1">
      <c r="B175" s="20"/>
    </row>
    <row r="176" ht="15.75" customHeight="1">
      <c r="B176" s="20"/>
    </row>
    <row r="177" ht="15.75" customHeight="1">
      <c r="B177" s="20"/>
    </row>
    <row r="178" ht="15.75" customHeight="1">
      <c r="B178" s="20"/>
    </row>
    <row r="179" ht="15.75" customHeight="1">
      <c r="B179" s="20"/>
    </row>
    <row r="180" ht="15.75" customHeight="1">
      <c r="B180" s="20"/>
    </row>
    <row r="181" ht="15.75" customHeight="1">
      <c r="B181" s="20"/>
    </row>
    <row r="182" ht="15.75" customHeight="1">
      <c r="B182" s="20"/>
    </row>
    <row r="183" ht="15.75" customHeight="1">
      <c r="B183" s="20"/>
    </row>
    <row r="184" ht="15.75" customHeight="1">
      <c r="B184" s="20"/>
    </row>
    <row r="185" ht="15.75" customHeight="1">
      <c r="B185" s="20"/>
    </row>
    <row r="186" ht="15.75" customHeight="1">
      <c r="B186" s="20"/>
    </row>
    <row r="187" ht="15.75" customHeight="1">
      <c r="B187" s="20"/>
    </row>
    <row r="188" ht="15.75" customHeight="1">
      <c r="B188" s="20"/>
    </row>
    <row r="189" ht="15.75" customHeight="1">
      <c r="B189" s="20"/>
    </row>
    <row r="190" ht="15.75" customHeight="1">
      <c r="B190" s="20"/>
    </row>
    <row r="191" ht="15.75" customHeight="1">
      <c r="B191" s="20"/>
    </row>
    <row r="192" ht="15.75" customHeight="1">
      <c r="B192" s="20"/>
    </row>
    <row r="193" ht="15.75" customHeight="1">
      <c r="B193" s="20"/>
    </row>
    <row r="194" ht="15.75" customHeight="1">
      <c r="B194" s="20"/>
    </row>
    <row r="195" ht="15.75" customHeight="1">
      <c r="B195" s="20"/>
    </row>
    <row r="196" ht="15.75" customHeight="1">
      <c r="B196" s="20"/>
    </row>
    <row r="197" ht="15.75" customHeight="1">
      <c r="B197" s="20"/>
    </row>
    <row r="198" ht="15.75" customHeight="1">
      <c r="B198" s="20"/>
    </row>
    <row r="199" ht="15.75" customHeight="1">
      <c r="B199" s="20"/>
    </row>
    <row r="200" ht="15.75" customHeight="1">
      <c r="B200" s="20"/>
    </row>
    <row r="201" ht="15.75" customHeight="1">
      <c r="B201" s="20"/>
    </row>
    <row r="202" ht="15.75" customHeight="1">
      <c r="B202" s="20"/>
    </row>
    <row r="203" ht="15.75" customHeight="1">
      <c r="B203" s="20"/>
    </row>
    <row r="204" ht="15.75" customHeight="1">
      <c r="B204" s="20"/>
    </row>
    <row r="205" ht="15.75" customHeight="1">
      <c r="B205" s="20"/>
    </row>
    <row r="206" ht="15.75" customHeight="1">
      <c r="B206" s="20"/>
    </row>
    <row r="207" ht="15.75" customHeight="1">
      <c r="B207" s="20"/>
    </row>
    <row r="208" ht="15.75" customHeight="1">
      <c r="B208" s="20"/>
    </row>
    <row r="209" ht="15.75" customHeight="1">
      <c r="B209" s="20"/>
    </row>
    <row r="210" ht="15.75" customHeight="1">
      <c r="B210" s="20"/>
    </row>
    <row r="211" ht="15.75" customHeight="1">
      <c r="B211" s="20"/>
    </row>
    <row r="212" ht="15.75" customHeight="1">
      <c r="B212" s="20"/>
    </row>
    <row r="213" ht="15.75" customHeight="1">
      <c r="B213" s="20"/>
    </row>
    <row r="214" ht="15.75" customHeight="1">
      <c r="B214" s="20"/>
    </row>
    <row r="215" ht="15.75" customHeight="1">
      <c r="B215" s="20"/>
    </row>
    <row r="216" ht="15.75" customHeight="1">
      <c r="B216" s="20"/>
    </row>
    <row r="217" ht="15.75" customHeight="1">
      <c r="B217" s="20"/>
    </row>
    <row r="218" ht="15.75" customHeight="1">
      <c r="B218" s="20"/>
    </row>
    <row r="219" ht="15.75" customHeight="1">
      <c r="B219" s="20"/>
    </row>
    <row r="220" ht="15.75" customHeight="1">
      <c r="B220" s="20"/>
    </row>
    <row r="221" ht="15.75" customHeight="1">
      <c r="B221" s="20"/>
    </row>
    <row r="222" ht="15.75" customHeight="1">
      <c r="B222" s="20"/>
    </row>
    <row r="223" ht="15.75" customHeight="1">
      <c r="B223" s="20"/>
    </row>
    <row r="224" ht="15.75" customHeight="1">
      <c r="B224" s="20"/>
    </row>
    <row r="225" ht="15.75" customHeight="1">
      <c r="B225" s="20"/>
    </row>
    <row r="226" ht="15.75" customHeight="1">
      <c r="B226" s="20"/>
    </row>
    <row r="227" ht="15.75" customHeight="1">
      <c r="B227" s="20"/>
    </row>
    <row r="228" ht="15.75" customHeight="1">
      <c r="B228" s="20"/>
    </row>
    <row r="229" ht="15.75" customHeight="1">
      <c r="B229" s="20"/>
    </row>
    <row r="230" ht="15.75" customHeight="1">
      <c r="B230" s="20"/>
    </row>
    <row r="231" ht="15.75" customHeight="1">
      <c r="B231" s="20"/>
    </row>
    <row r="232" ht="15.75" customHeight="1">
      <c r="B232" s="20"/>
    </row>
    <row r="233" ht="15.75" customHeight="1">
      <c r="B233" s="20"/>
    </row>
    <row r="234" ht="15.75" customHeight="1">
      <c r="B234" s="20"/>
    </row>
    <row r="235" ht="15.75" customHeight="1">
      <c r="B235" s="20"/>
    </row>
    <row r="236" ht="15.75" customHeight="1">
      <c r="B236" s="20"/>
    </row>
    <row r="237" ht="15.75" customHeight="1">
      <c r="B237" s="20"/>
    </row>
    <row r="238" ht="15.75" customHeight="1">
      <c r="B238" s="20"/>
    </row>
    <row r="239" ht="15.75" customHeight="1">
      <c r="B239" s="20"/>
    </row>
    <row r="240" ht="15.75" customHeight="1">
      <c r="B240" s="20"/>
    </row>
    <row r="241" ht="15.75" customHeight="1">
      <c r="B241" s="20"/>
    </row>
    <row r="242" ht="15.75" customHeight="1">
      <c r="B242" s="20"/>
    </row>
    <row r="243" ht="15.75" customHeight="1">
      <c r="B243" s="20"/>
    </row>
    <row r="244" ht="15.75" customHeight="1">
      <c r="B244" s="20"/>
    </row>
    <row r="245" ht="15.75" customHeight="1">
      <c r="B245" s="20"/>
    </row>
    <row r="246" ht="15.75" customHeight="1">
      <c r="B246" s="20"/>
    </row>
    <row r="247" ht="15.75" customHeight="1">
      <c r="B247" s="20"/>
    </row>
    <row r="248" ht="15.75" customHeight="1">
      <c r="B248" s="20"/>
    </row>
    <row r="249" ht="15.75" customHeight="1">
      <c r="B249" s="20"/>
    </row>
    <row r="250" ht="15.75" customHeight="1">
      <c r="B250" s="20"/>
    </row>
    <row r="251" ht="15.75" customHeight="1">
      <c r="B251" s="20"/>
    </row>
    <row r="252" ht="15.75" customHeight="1">
      <c r="B252" s="20"/>
    </row>
    <row r="253" ht="15.75" customHeight="1">
      <c r="B253" s="20"/>
    </row>
    <row r="254" ht="15.75" customHeight="1">
      <c r="B254" s="20"/>
    </row>
    <row r="255" ht="15.75" customHeight="1">
      <c r="B255" s="20"/>
    </row>
    <row r="256" ht="15.75" customHeight="1">
      <c r="B256" s="20"/>
    </row>
    <row r="257" ht="15.75" customHeight="1">
      <c r="B257" s="20"/>
    </row>
    <row r="258" ht="15.75" customHeight="1">
      <c r="B258" s="20"/>
    </row>
    <row r="259" ht="15.75" customHeight="1">
      <c r="B259" s="20"/>
    </row>
    <row r="260" ht="15.75" customHeight="1">
      <c r="B260" s="20"/>
    </row>
    <row r="261" ht="15.75" customHeight="1">
      <c r="B261" s="20"/>
    </row>
    <row r="262" ht="15.75" customHeight="1">
      <c r="B262" s="20"/>
    </row>
    <row r="263" ht="15.75" customHeight="1">
      <c r="B263" s="20"/>
    </row>
    <row r="264" ht="15.75" customHeight="1">
      <c r="B264" s="20"/>
    </row>
    <row r="265" ht="15.75" customHeight="1">
      <c r="B265" s="20"/>
    </row>
    <row r="266" ht="15.75" customHeight="1">
      <c r="B266" s="20"/>
    </row>
    <row r="267" ht="15.75" customHeight="1">
      <c r="B267" s="20"/>
    </row>
    <row r="268" ht="15.75" customHeight="1">
      <c r="B268" s="20"/>
    </row>
    <row r="269" ht="15.75" customHeight="1">
      <c r="B269" s="20"/>
    </row>
    <row r="270" ht="15.75" customHeight="1">
      <c r="B270" s="20"/>
    </row>
    <row r="271" ht="15.75" customHeight="1">
      <c r="B271" s="20"/>
    </row>
    <row r="272" ht="15.75" customHeight="1">
      <c r="B272" s="20"/>
    </row>
    <row r="273" ht="15.75" customHeight="1">
      <c r="B273" s="20"/>
    </row>
    <row r="274" ht="15.75" customHeight="1">
      <c r="B274" s="20"/>
    </row>
    <row r="275" ht="15.75" customHeight="1">
      <c r="B275" s="20"/>
    </row>
    <row r="276" ht="15.75" customHeight="1">
      <c r="B276" s="20"/>
    </row>
    <row r="277" ht="15.75" customHeight="1">
      <c r="B277" s="20"/>
    </row>
    <row r="278" ht="15.75" customHeight="1">
      <c r="B278" s="20"/>
    </row>
    <row r="279" ht="15.75" customHeight="1">
      <c r="B279" s="20"/>
    </row>
    <row r="280" ht="15.75" customHeight="1">
      <c r="B280" s="20"/>
    </row>
    <row r="281" ht="15.75" customHeight="1">
      <c r="B281" s="20"/>
    </row>
    <row r="282" ht="15.75" customHeight="1">
      <c r="B282" s="20"/>
    </row>
    <row r="283" ht="15.75" customHeight="1">
      <c r="B283" s="20"/>
    </row>
    <row r="284" ht="15.75" customHeight="1">
      <c r="B284" s="20"/>
    </row>
    <row r="285" ht="15.75" customHeight="1">
      <c r="B285" s="20"/>
    </row>
    <row r="286" ht="15.75" customHeight="1">
      <c r="B286" s="20"/>
    </row>
    <row r="287" ht="15.75" customHeight="1">
      <c r="B287" s="20"/>
    </row>
    <row r="288" ht="15.75" customHeight="1">
      <c r="B288" s="20"/>
    </row>
    <row r="289" ht="15.75" customHeight="1">
      <c r="B289" s="20"/>
    </row>
    <row r="290" ht="15.75" customHeight="1">
      <c r="B290" s="20"/>
    </row>
    <row r="291" ht="15.75" customHeight="1">
      <c r="B291" s="20"/>
    </row>
    <row r="292" ht="15.75" customHeight="1">
      <c r="B292" s="20"/>
    </row>
    <row r="293" ht="15.75" customHeight="1">
      <c r="B293" s="20"/>
    </row>
    <row r="294" ht="15.75" customHeight="1">
      <c r="B294" s="20"/>
    </row>
    <row r="295" ht="15.75" customHeight="1">
      <c r="B295" s="20"/>
    </row>
    <row r="296" ht="15.75" customHeight="1">
      <c r="B296" s="20"/>
    </row>
    <row r="297" ht="15.75" customHeight="1">
      <c r="B297" s="20"/>
    </row>
    <row r="298" ht="15.75" customHeight="1">
      <c r="B298" s="20"/>
    </row>
    <row r="299" ht="15.75" customHeight="1">
      <c r="B299" s="20"/>
    </row>
    <row r="300" ht="15.75" customHeight="1">
      <c r="B300" s="20"/>
    </row>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73"/>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25"/>
    <col customWidth="1" min="2" max="2" width="24.0"/>
    <col customWidth="1" min="3" max="3" width="38.13"/>
    <col customWidth="1" min="4" max="4" width="32.0"/>
    <col customWidth="1" min="5" max="5" width="32.88"/>
  </cols>
  <sheetData>
    <row r="1">
      <c r="A1" s="21" t="s">
        <v>0</v>
      </c>
      <c r="B1" s="21" t="s">
        <v>407</v>
      </c>
      <c r="C1" s="21" t="s">
        <v>408</v>
      </c>
      <c r="D1" s="22" t="s">
        <v>409</v>
      </c>
      <c r="E1" s="21" t="s">
        <v>410</v>
      </c>
    </row>
    <row r="2">
      <c r="A2" s="20" t="s">
        <v>25</v>
      </c>
      <c r="B2" s="20" t="s">
        <v>357</v>
      </c>
      <c r="C2" s="20" t="s">
        <v>411</v>
      </c>
      <c r="D2" s="2" t="s">
        <v>412</v>
      </c>
      <c r="E2" s="20" t="s">
        <v>413</v>
      </c>
    </row>
    <row r="3">
      <c r="A3" s="20" t="s">
        <v>280</v>
      </c>
      <c r="B3" s="20" t="s">
        <v>357</v>
      </c>
      <c r="C3" s="20" t="s">
        <v>411</v>
      </c>
      <c r="D3" s="2" t="s">
        <v>412</v>
      </c>
      <c r="E3" s="20" t="s">
        <v>413</v>
      </c>
    </row>
    <row r="4">
      <c r="A4" s="20" t="s">
        <v>17</v>
      </c>
      <c r="B4" s="20" t="s">
        <v>357</v>
      </c>
      <c r="C4" s="20" t="s">
        <v>411</v>
      </c>
      <c r="D4" s="2" t="s">
        <v>412</v>
      </c>
      <c r="E4" s="20" t="s">
        <v>413</v>
      </c>
    </row>
    <row r="5">
      <c r="A5" s="20" t="s">
        <v>22</v>
      </c>
      <c r="B5" s="20" t="s">
        <v>357</v>
      </c>
      <c r="C5" s="20" t="s">
        <v>411</v>
      </c>
      <c r="D5" s="2" t="s">
        <v>412</v>
      </c>
      <c r="E5" s="20" t="s">
        <v>413</v>
      </c>
    </row>
    <row r="6">
      <c r="A6" s="20" t="s">
        <v>29</v>
      </c>
      <c r="B6" s="20" t="s">
        <v>299</v>
      </c>
      <c r="C6" s="20" t="s">
        <v>414</v>
      </c>
      <c r="D6" s="2" t="s">
        <v>415</v>
      </c>
      <c r="E6" s="20" t="s">
        <v>416</v>
      </c>
    </row>
    <row r="7">
      <c r="A7" s="20" t="s">
        <v>32</v>
      </c>
      <c r="B7" s="20" t="s">
        <v>299</v>
      </c>
      <c r="C7" s="20" t="s">
        <v>414</v>
      </c>
      <c r="D7" s="2" t="s">
        <v>415</v>
      </c>
      <c r="E7" s="20" t="s">
        <v>416</v>
      </c>
    </row>
    <row r="8">
      <c r="A8" s="20" t="s">
        <v>35</v>
      </c>
      <c r="B8" s="20" t="s">
        <v>299</v>
      </c>
      <c r="C8" s="20" t="s">
        <v>414</v>
      </c>
      <c r="D8" s="2" t="s">
        <v>415</v>
      </c>
      <c r="E8" s="20" t="s">
        <v>416</v>
      </c>
    </row>
    <row r="9">
      <c r="A9" s="20" t="s">
        <v>38</v>
      </c>
      <c r="B9" s="20" t="s">
        <v>417</v>
      </c>
      <c r="C9" s="20" t="s">
        <v>418</v>
      </c>
      <c r="D9" s="2" t="s">
        <v>419</v>
      </c>
      <c r="E9" s="20" t="s">
        <v>420</v>
      </c>
    </row>
    <row r="10">
      <c r="A10" s="20" t="s">
        <v>40</v>
      </c>
      <c r="B10" s="20" t="s">
        <v>421</v>
      </c>
      <c r="C10" s="20" t="s">
        <v>422</v>
      </c>
      <c r="D10" s="2" t="s">
        <v>423</v>
      </c>
      <c r="E10" s="20" t="s">
        <v>424</v>
      </c>
    </row>
    <row r="11">
      <c r="A11" s="20" t="s">
        <v>149</v>
      </c>
      <c r="B11" s="20" t="s">
        <v>288</v>
      </c>
      <c r="C11" s="20"/>
      <c r="D11" s="2" t="s">
        <v>425</v>
      </c>
      <c r="E11" s="20" t="s">
        <v>426</v>
      </c>
    </row>
    <row r="12">
      <c r="A12" s="20" t="s">
        <v>151</v>
      </c>
      <c r="B12" s="20" t="s">
        <v>288</v>
      </c>
      <c r="C12" s="20"/>
      <c r="D12" s="2" t="s">
        <v>415</v>
      </c>
      <c r="E12" s="20" t="s">
        <v>427</v>
      </c>
    </row>
    <row r="13">
      <c r="A13" s="20" t="s">
        <v>118</v>
      </c>
      <c r="B13" s="20" t="s">
        <v>428</v>
      </c>
      <c r="C13" s="20" t="s">
        <v>429</v>
      </c>
      <c r="D13" s="2" t="s">
        <v>430</v>
      </c>
      <c r="E13" s="20" t="s">
        <v>431</v>
      </c>
    </row>
    <row r="14">
      <c r="A14" s="20" t="s">
        <v>123</v>
      </c>
      <c r="B14" s="20" t="s">
        <v>432</v>
      </c>
      <c r="C14" s="20" t="s">
        <v>433</v>
      </c>
      <c r="D14" s="2" t="s">
        <v>434</v>
      </c>
      <c r="E14" s="20" t="s">
        <v>435</v>
      </c>
    </row>
    <row r="15">
      <c r="A15" s="20" t="s">
        <v>121</v>
      </c>
      <c r="B15" s="20" t="s">
        <v>432</v>
      </c>
      <c r="C15" s="20" t="s">
        <v>433</v>
      </c>
      <c r="D15" s="2" t="s">
        <v>434</v>
      </c>
      <c r="E15" s="20" t="s">
        <v>435</v>
      </c>
    </row>
    <row r="16">
      <c r="A16" s="20" t="s">
        <v>127</v>
      </c>
      <c r="B16" s="20" t="s">
        <v>436</v>
      </c>
      <c r="C16" s="20" t="s">
        <v>437</v>
      </c>
      <c r="D16" s="2" t="s">
        <v>438</v>
      </c>
      <c r="E16" s="20" t="s">
        <v>439</v>
      </c>
    </row>
    <row r="17">
      <c r="A17" s="20" t="s">
        <v>125</v>
      </c>
      <c r="B17" s="20" t="s">
        <v>436</v>
      </c>
      <c r="C17" s="20" t="s">
        <v>437</v>
      </c>
      <c r="D17" s="2" t="s">
        <v>438</v>
      </c>
      <c r="E17" s="20" t="s">
        <v>439</v>
      </c>
    </row>
    <row r="18">
      <c r="A18" s="20" t="s">
        <v>131</v>
      </c>
      <c r="B18" s="20" t="s">
        <v>440</v>
      </c>
      <c r="C18" s="20" t="s">
        <v>441</v>
      </c>
      <c r="D18" s="2" t="s">
        <v>299</v>
      </c>
      <c r="E18" s="2" t="s">
        <v>299</v>
      </c>
    </row>
    <row r="19">
      <c r="A19" s="20" t="s">
        <v>129</v>
      </c>
      <c r="B19" s="20" t="s">
        <v>440</v>
      </c>
      <c r="C19" s="20" t="s">
        <v>441</v>
      </c>
      <c r="D19" s="2" t="s">
        <v>299</v>
      </c>
      <c r="E19" s="2" t="s">
        <v>299</v>
      </c>
    </row>
    <row r="20">
      <c r="A20" s="20" t="s">
        <v>135</v>
      </c>
      <c r="B20" s="20" t="s">
        <v>442</v>
      </c>
      <c r="C20" s="20" t="s">
        <v>443</v>
      </c>
      <c r="D20" s="2" t="s">
        <v>444</v>
      </c>
      <c r="E20" s="20" t="s">
        <v>445</v>
      </c>
    </row>
    <row r="21" ht="15.75" customHeight="1">
      <c r="A21" s="20" t="s">
        <v>133</v>
      </c>
      <c r="B21" s="20" t="s">
        <v>442</v>
      </c>
      <c r="C21" s="20" t="s">
        <v>443</v>
      </c>
      <c r="D21" s="2" t="s">
        <v>444</v>
      </c>
      <c r="E21" s="20" t="s">
        <v>445</v>
      </c>
    </row>
    <row r="22" ht="15.75" customHeight="1">
      <c r="A22" s="20" t="s">
        <v>137</v>
      </c>
      <c r="B22" s="20" t="s">
        <v>446</v>
      </c>
      <c r="C22" s="20" t="s">
        <v>447</v>
      </c>
      <c r="D22" s="2" t="s">
        <v>303</v>
      </c>
      <c r="E22" s="20" t="s">
        <v>303</v>
      </c>
    </row>
    <row r="23" ht="15.75" customHeight="1">
      <c r="A23" s="20" t="s">
        <v>304</v>
      </c>
      <c r="B23" s="20" t="s">
        <v>448</v>
      </c>
      <c r="C23" s="20" t="s">
        <v>449</v>
      </c>
      <c r="D23" s="2" t="s">
        <v>450</v>
      </c>
      <c r="E23" s="20" t="s">
        <v>303</v>
      </c>
    </row>
    <row r="24" ht="15.75" customHeight="1">
      <c r="A24" s="20" t="s">
        <v>111</v>
      </c>
      <c r="B24" s="20" t="s">
        <v>446</v>
      </c>
      <c r="C24" s="20" t="s">
        <v>451</v>
      </c>
      <c r="D24" s="2" t="s">
        <v>303</v>
      </c>
      <c r="E24" s="20" t="s">
        <v>303</v>
      </c>
    </row>
    <row r="25" ht="15.75" customHeight="1">
      <c r="A25" s="20" t="s">
        <v>115</v>
      </c>
      <c r="B25" s="20" t="s">
        <v>452</v>
      </c>
      <c r="C25" s="20" t="s">
        <v>453</v>
      </c>
      <c r="D25" s="2" t="s">
        <v>303</v>
      </c>
      <c r="E25" s="20" t="s">
        <v>303</v>
      </c>
    </row>
    <row r="26" ht="15.75" customHeight="1">
      <c r="A26" s="20" t="s">
        <v>153</v>
      </c>
      <c r="B26" s="20" t="s">
        <v>454</v>
      </c>
      <c r="C26" s="20" t="s">
        <v>455</v>
      </c>
      <c r="D26" s="2" t="s">
        <v>456</v>
      </c>
      <c r="E26" s="20" t="s">
        <v>457</v>
      </c>
    </row>
    <row r="27" ht="15.75" customHeight="1">
      <c r="A27" s="20" t="s">
        <v>215</v>
      </c>
      <c r="B27" s="20" t="s">
        <v>458</v>
      </c>
      <c r="C27" s="20" t="s">
        <v>459</v>
      </c>
      <c r="D27" s="2" t="s">
        <v>460</v>
      </c>
      <c r="E27" s="20" t="s">
        <v>461</v>
      </c>
    </row>
    <row r="28" ht="15.75" customHeight="1">
      <c r="A28" s="20" t="s">
        <v>218</v>
      </c>
      <c r="B28" s="20" t="s">
        <v>462</v>
      </c>
      <c r="C28" s="20" t="s">
        <v>463</v>
      </c>
      <c r="D28" s="2" t="s">
        <v>464</v>
      </c>
      <c r="E28" s="20" t="s">
        <v>465</v>
      </c>
    </row>
    <row r="29" ht="15.75" customHeight="1">
      <c r="A29" s="20" t="s">
        <v>316</v>
      </c>
      <c r="B29" s="20" t="s">
        <v>466</v>
      </c>
      <c r="C29" s="20" t="s">
        <v>467</v>
      </c>
      <c r="D29" s="2" t="s">
        <v>468</v>
      </c>
      <c r="E29" s="20" t="s">
        <v>469</v>
      </c>
    </row>
    <row r="30" ht="15.75" customHeight="1">
      <c r="A30" s="20" t="s">
        <v>84</v>
      </c>
      <c r="B30" s="20" t="s">
        <v>470</v>
      </c>
      <c r="C30" s="20" t="s">
        <v>471</v>
      </c>
      <c r="D30" s="2" t="s">
        <v>303</v>
      </c>
      <c r="E30" s="20" t="s">
        <v>303</v>
      </c>
    </row>
    <row r="31" ht="15.75" customHeight="1">
      <c r="A31" s="20" t="s">
        <v>212</v>
      </c>
      <c r="B31" s="20" t="s">
        <v>458</v>
      </c>
      <c r="C31" s="20" t="s">
        <v>472</v>
      </c>
      <c r="D31" s="2" t="s">
        <v>473</v>
      </c>
      <c r="E31" s="20" t="s">
        <v>474</v>
      </c>
    </row>
    <row r="32" ht="15.75" customHeight="1">
      <c r="A32" s="20" t="s">
        <v>53</v>
      </c>
      <c r="B32" s="20" t="s">
        <v>475</v>
      </c>
      <c r="C32" s="20" t="s">
        <v>476</v>
      </c>
      <c r="D32" s="2" t="s">
        <v>303</v>
      </c>
      <c r="E32" s="20" t="s">
        <v>303</v>
      </c>
    </row>
    <row r="33" ht="15.75" customHeight="1">
      <c r="A33" s="20" t="s">
        <v>58</v>
      </c>
      <c r="B33" s="20" t="s">
        <v>475</v>
      </c>
      <c r="C33" s="20" t="s">
        <v>477</v>
      </c>
      <c r="D33" s="2" t="s">
        <v>303</v>
      </c>
      <c r="E33" s="20" t="s">
        <v>303</v>
      </c>
    </row>
    <row r="34" ht="15.75" customHeight="1">
      <c r="A34" s="20" t="s">
        <v>324</v>
      </c>
      <c r="B34" s="20" t="s">
        <v>475</v>
      </c>
      <c r="C34" s="20" t="s">
        <v>477</v>
      </c>
      <c r="D34" s="2" t="s">
        <v>303</v>
      </c>
      <c r="E34" s="20" t="s">
        <v>303</v>
      </c>
    </row>
    <row r="35" ht="15.75" customHeight="1">
      <c r="A35" s="20" t="s">
        <v>325</v>
      </c>
      <c r="B35" s="20" t="s">
        <v>475</v>
      </c>
      <c r="C35" s="20" t="s">
        <v>478</v>
      </c>
      <c r="D35" s="2" t="s">
        <v>479</v>
      </c>
      <c r="E35" s="20" t="s">
        <v>303</v>
      </c>
    </row>
    <row r="36" ht="15.75" customHeight="1">
      <c r="A36" s="20" t="s">
        <v>63</v>
      </c>
      <c r="B36" s="20" t="s">
        <v>475</v>
      </c>
      <c r="C36" s="20" t="s">
        <v>480</v>
      </c>
      <c r="D36" s="2" t="s">
        <v>303</v>
      </c>
      <c r="E36" s="20" t="s">
        <v>303</v>
      </c>
    </row>
    <row r="37" ht="15.75" customHeight="1">
      <c r="A37" s="20" t="s">
        <v>329</v>
      </c>
      <c r="B37" s="20" t="s">
        <v>481</v>
      </c>
      <c r="C37" s="20" t="s">
        <v>475</v>
      </c>
      <c r="D37" s="2" t="s">
        <v>303</v>
      </c>
      <c r="E37" s="20" t="s">
        <v>303</v>
      </c>
    </row>
    <row r="38" ht="15.75" customHeight="1">
      <c r="A38" s="20" t="s">
        <v>331</v>
      </c>
      <c r="B38" s="20" t="s">
        <v>475</v>
      </c>
      <c r="C38" s="20" t="s">
        <v>482</v>
      </c>
      <c r="D38" s="2" t="s">
        <v>303</v>
      </c>
      <c r="E38" s="20" t="s">
        <v>303</v>
      </c>
    </row>
    <row r="39" ht="15.75" customHeight="1">
      <c r="A39" s="20" t="s">
        <v>333</v>
      </c>
      <c r="B39" s="20" t="s">
        <v>483</v>
      </c>
      <c r="C39" s="20" t="s">
        <v>484</v>
      </c>
      <c r="D39" s="2" t="s">
        <v>485</v>
      </c>
      <c r="E39" s="20" t="s">
        <v>486</v>
      </c>
    </row>
    <row r="40" ht="15.75" customHeight="1">
      <c r="A40" s="20" t="s">
        <v>74</v>
      </c>
      <c r="B40" s="20" t="s">
        <v>487</v>
      </c>
      <c r="C40" s="20" t="s">
        <v>488</v>
      </c>
      <c r="D40" s="2" t="s">
        <v>489</v>
      </c>
      <c r="E40" s="20" t="s">
        <v>490</v>
      </c>
    </row>
    <row r="41" ht="15.75" customHeight="1">
      <c r="A41" s="20" t="s">
        <v>76</v>
      </c>
      <c r="B41" s="20" t="s">
        <v>487</v>
      </c>
      <c r="C41" s="20" t="s">
        <v>491</v>
      </c>
      <c r="D41" s="2" t="s">
        <v>492</v>
      </c>
      <c r="E41" s="20" t="s">
        <v>493</v>
      </c>
    </row>
    <row r="42" ht="15.75" customHeight="1">
      <c r="A42" s="20" t="s">
        <v>79</v>
      </c>
      <c r="B42" s="20" t="s">
        <v>494</v>
      </c>
      <c r="C42" s="20" t="s">
        <v>495</v>
      </c>
      <c r="D42" s="2" t="s">
        <v>496</v>
      </c>
      <c r="E42" s="20" t="s">
        <v>303</v>
      </c>
    </row>
    <row r="43" ht="15.75" customHeight="1">
      <c r="A43" s="20" t="s">
        <v>342</v>
      </c>
      <c r="B43" s="20" t="s">
        <v>303</v>
      </c>
      <c r="C43" s="20"/>
      <c r="D43" s="2" t="s">
        <v>303</v>
      </c>
      <c r="E43" s="20" t="s">
        <v>303</v>
      </c>
    </row>
    <row r="44" ht="15.75" customHeight="1">
      <c r="A44" s="20" t="s">
        <v>343</v>
      </c>
      <c r="B44" s="20" t="s">
        <v>303</v>
      </c>
      <c r="C44" s="20"/>
      <c r="D44" s="2" t="s">
        <v>303</v>
      </c>
      <c r="E44" s="20" t="s">
        <v>303</v>
      </c>
    </row>
    <row r="45" ht="15.75" customHeight="1">
      <c r="A45" s="20" t="s">
        <v>344</v>
      </c>
      <c r="B45" s="20" t="s">
        <v>497</v>
      </c>
      <c r="C45" s="20" t="s">
        <v>498</v>
      </c>
      <c r="D45" s="2" t="s">
        <v>438</v>
      </c>
      <c r="E45" s="20" t="s">
        <v>499</v>
      </c>
    </row>
    <row r="46" ht="15.75" customHeight="1">
      <c r="A46" s="20" t="s">
        <v>347</v>
      </c>
      <c r="B46" s="20" t="s">
        <v>500</v>
      </c>
      <c r="C46" s="20" t="s">
        <v>501</v>
      </c>
      <c r="D46" s="2" t="s">
        <v>303</v>
      </c>
      <c r="E46" s="20" t="s">
        <v>303</v>
      </c>
    </row>
    <row r="47" ht="15.75" customHeight="1">
      <c r="A47" s="20" t="s">
        <v>188</v>
      </c>
      <c r="B47" s="20" t="s">
        <v>502</v>
      </c>
      <c r="C47" s="20" t="s">
        <v>503</v>
      </c>
      <c r="D47" s="2" t="s">
        <v>504</v>
      </c>
      <c r="E47" s="20" t="s">
        <v>505</v>
      </c>
    </row>
    <row r="48" ht="15.75" customHeight="1">
      <c r="A48" s="20" t="s">
        <v>190</v>
      </c>
      <c r="B48" s="20" t="s">
        <v>487</v>
      </c>
      <c r="C48" s="20" t="s">
        <v>388</v>
      </c>
      <c r="D48" s="2" t="s">
        <v>504</v>
      </c>
      <c r="E48" s="20" t="s">
        <v>505</v>
      </c>
    </row>
    <row r="49" ht="15.75" customHeight="1">
      <c r="A49" s="20" t="s">
        <v>192</v>
      </c>
      <c r="B49" s="20" t="s">
        <v>506</v>
      </c>
      <c r="C49" s="20" t="s">
        <v>507</v>
      </c>
      <c r="D49" s="2" t="s">
        <v>508</v>
      </c>
      <c r="E49" s="20" t="s">
        <v>509</v>
      </c>
    </row>
    <row r="50" ht="15.75" customHeight="1">
      <c r="A50" s="20" t="s">
        <v>194</v>
      </c>
      <c r="B50" s="20" t="s">
        <v>357</v>
      </c>
      <c r="C50" s="20" t="s">
        <v>510</v>
      </c>
      <c r="D50" s="2" t="s">
        <v>511</v>
      </c>
      <c r="E50" s="20" t="s">
        <v>512</v>
      </c>
    </row>
    <row r="51" ht="15.75" customHeight="1">
      <c r="A51" s="20" t="s">
        <v>196</v>
      </c>
      <c r="B51" s="20" t="s">
        <v>357</v>
      </c>
      <c r="C51" s="20"/>
      <c r="D51" s="2" t="s">
        <v>487</v>
      </c>
      <c r="E51" s="20" t="s">
        <v>513</v>
      </c>
    </row>
    <row r="52" ht="15.75" customHeight="1">
      <c r="A52" s="20" t="s">
        <v>198</v>
      </c>
      <c r="B52" s="20" t="s">
        <v>514</v>
      </c>
      <c r="C52" s="20" t="s">
        <v>515</v>
      </c>
      <c r="D52" s="2" t="s">
        <v>303</v>
      </c>
      <c r="E52" s="20" t="s">
        <v>303</v>
      </c>
    </row>
    <row r="53" ht="15.75" customHeight="1">
      <c r="A53" s="20" t="s">
        <v>200</v>
      </c>
      <c r="B53" s="20" t="s">
        <v>487</v>
      </c>
      <c r="C53" s="20" t="s">
        <v>516</v>
      </c>
      <c r="D53" s="2" t="s">
        <v>388</v>
      </c>
      <c r="E53" s="20" t="s">
        <v>517</v>
      </c>
    </row>
    <row r="54" ht="15.75" customHeight="1">
      <c r="A54" s="20" t="s">
        <v>362</v>
      </c>
      <c r="B54" s="20" t="s">
        <v>363</v>
      </c>
      <c r="C54" s="20"/>
      <c r="D54" s="2" t="s">
        <v>303</v>
      </c>
      <c r="E54" s="20" t="s">
        <v>303</v>
      </c>
    </row>
    <row r="55" ht="15.75" customHeight="1">
      <c r="A55" s="20" t="s">
        <v>158</v>
      </c>
      <c r="B55" s="20" t="s">
        <v>518</v>
      </c>
      <c r="C55" s="20" t="s">
        <v>519</v>
      </c>
      <c r="D55" s="2" t="s">
        <v>520</v>
      </c>
      <c r="E55" s="20" t="s">
        <v>521</v>
      </c>
    </row>
    <row r="56" ht="15.75" customHeight="1">
      <c r="A56" s="20" t="s">
        <v>366</v>
      </c>
      <c r="B56" s="20" t="s">
        <v>518</v>
      </c>
      <c r="C56" s="20" t="s">
        <v>522</v>
      </c>
      <c r="D56" s="2" t="s">
        <v>523</v>
      </c>
      <c r="E56" s="20" t="s">
        <v>524</v>
      </c>
    </row>
    <row r="57" ht="15.75" customHeight="1">
      <c r="A57" s="20" t="s">
        <v>161</v>
      </c>
      <c r="B57" s="20" t="s">
        <v>518</v>
      </c>
      <c r="C57" s="20" t="s">
        <v>522</v>
      </c>
      <c r="D57" s="2" t="s">
        <v>523</v>
      </c>
      <c r="E57" s="20" t="s">
        <v>524</v>
      </c>
    </row>
    <row r="58" ht="15.75" customHeight="1">
      <c r="A58" s="20" t="s">
        <v>163</v>
      </c>
      <c r="B58" s="20" t="s">
        <v>518</v>
      </c>
      <c r="C58" s="20" t="s">
        <v>525</v>
      </c>
      <c r="D58" s="2" t="s">
        <v>526</v>
      </c>
      <c r="E58" s="20" t="s">
        <v>527</v>
      </c>
    </row>
    <row r="59" ht="15.75" customHeight="1">
      <c r="A59" s="20" t="s">
        <v>165</v>
      </c>
      <c r="B59" s="20" t="s">
        <v>357</v>
      </c>
      <c r="C59" s="20" t="s">
        <v>528</v>
      </c>
      <c r="D59" s="2" t="s">
        <v>529</v>
      </c>
      <c r="E59" s="20" t="s">
        <v>303</v>
      </c>
    </row>
    <row r="60" ht="15.75" customHeight="1">
      <c r="A60" s="20" t="s">
        <v>168</v>
      </c>
      <c r="B60" s="20" t="s">
        <v>530</v>
      </c>
      <c r="C60" s="20" t="s">
        <v>531</v>
      </c>
      <c r="D60" s="2" t="s">
        <v>532</v>
      </c>
      <c r="E60" s="20" t="s">
        <v>533</v>
      </c>
    </row>
    <row r="61" ht="15.75" customHeight="1">
      <c r="A61" s="20" t="s">
        <v>170</v>
      </c>
      <c r="B61" s="20" t="s">
        <v>518</v>
      </c>
      <c r="C61" s="20" t="s">
        <v>534</v>
      </c>
      <c r="D61" s="2" t="s">
        <v>535</v>
      </c>
      <c r="E61" s="20" t="s">
        <v>536</v>
      </c>
    </row>
    <row r="62" ht="15.75" customHeight="1">
      <c r="A62" s="20" t="s">
        <v>172</v>
      </c>
      <c r="B62" s="20" t="s">
        <v>537</v>
      </c>
      <c r="C62" s="20" t="s">
        <v>538</v>
      </c>
      <c r="D62" s="2" t="s">
        <v>526</v>
      </c>
      <c r="E62" s="20" t="s">
        <v>539</v>
      </c>
    </row>
    <row r="63" ht="15.75" customHeight="1">
      <c r="A63" s="20" t="s">
        <v>174</v>
      </c>
      <c r="B63" s="20" t="s">
        <v>540</v>
      </c>
      <c r="C63" s="20" t="s">
        <v>541</v>
      </c>
      <c r="D63" s="2" t="s">
        <v>464</v>
      </c>
      <c r="E63" s="20" t="s">
        <v>542</v>
      </c>
    </row>
    <row r="64" ht="15.75" customHeight="1">
      <c r="A64" s="20" t="s">
        <v>176</v>
      </c>
      <c r="B64" s="20" t="s">
        <v>357</v>
      </c>
      <c r="C64" s="20" t="s">
        <v>518</v>
      </c>
      <c r="D64" s="2" t="s">
        <v>543</v>
      </c>
      <c r="E64" s="20" t="s">
        <v>544</v>
      </c>
    </row>
    <row r="65" ht="15.75" customHeight="1">
      <c r="A65" s="20" t="s">
        <v>179</v>
      </c>
      <c r="B65" s="20" t="s">
        <v>357</v>
      </c>
      <c r="C65" s="20" t="s">
        <v>545</v>
      </c>
      <c r="D65" s="2" t="s">
        <v>543</v>
      </c>
      <c r="E65" s="20" t="s">
        <v>546</v>
      </c>
    </row>
    <row r="66" ht="15.75" customHeight="1">
      <c r="A66" s="20" t="s">
        <v>205</v>
      </c>
      <c r="B66" s="20" t="s">
        <v>385</v>
      </c>
      <c r="C66" s="20"/>
      <c r="D66" s="2" t="s">
        <v>547</v>
      </c>
      <c r="E66" s="20" t="s">
        <v>548</v>
      </c>
    </row>
    <row r="67" ht="15.75" customHeight="1">
      <c r="A67" s="20" t="s">
        <v>209</v>
      </c>
      <c r="B67" s="20" t="s">
        <v>385</v>
      </c>
      <c r="C67" s="20"/>
      <c r="D67" s="2" t="s">
        <v>547</v>
      </c>
      <c r="E67" s="20" t="s">
        <v>549</v>
      </c>
    </row>
    <row r="68" ht="15.75" customHeight="1">
      <c r="A68" s="20" t="s">
        <v>210</v>
      </c>
      <c r="B68" s="20" t="s">
        <v>388</v>
      </c>
      <c r="C68" s="20"/>
      <c r="D68" s="2" t="s">
        <v>385</v>
      </c>
      <c r="E68" s="20" t="s">
        <v>550</v>
      </c>
    </row>
    <row r="69" ht="15.75" customHeight="1">
      <c r="A69" s="20" t="s">
        <v>249</v>
      </c>
      <c r="B69" s="20" t="s">
        <v>551</v>
      </c>
      <c r="C69" s="20" t="s">
        <v>392</v>
      </c>
      <c r="D69" s="2" t="s">
        <v>303</v>
      </c>
      <c r="E69" s="20" t="s">
        <v>303</v>
      </c>
    </row>
    <row r="70" ht="15.75" customHeight="1">
      <c r="A70" s="20" t="s">
        <v>252</v>
      </c>
      <c r="B70" s="20" t="s">
        <v>551</v>
      </c>
      <c r="C70" s="20" t="s">
        <v>392</v>
      </c>
      <c r="D70" s="2" t="s">
        <v>303</v>
      </c>
      <c r="E70" s="20" t="s">
        <v>303</v>
      </c>
    </row>
    <row r="71" ht="15.75" customHeight="1">
      <c r="A71" s="20" t="s">
        <v>391</v>
      </c>
      <c r="B71" s="20" t="s">
        <v>392</v>
      </c>
      <c r="C71" s="20"/>
      <c r="D71" s="2" t="s">
        <v>303</v>
      </c>
      <c r="E71" s="20" t="s">
        <v>303</v>
      </c>
    </row>
    <row r="72" ht="15.75" customHeight="1">
      <c r="A72" s="20" t="s">
        <v>146</v>
      </c>
      <c r="B72" s="20" t="s">
        <v>552</v>
      </c>
      <c r="C72" s="20" t="s">
        <v>553</v>
      </c>
      <c r="D72" s="2" t="s">
        <v>464</v>
      </c>
      <c r="E72" s="20" t="s">
        <v>554</v>
      </c>
    </row>
    <row r="73" ht="15.75" customHeight="1">
      <c r="A73" s="20" t="s">
        <v>181</v>
      </c>
      <c r="B73" s="20" t="s">
        <v>518</v>
      </c>
      <c r="C73" s="20" t="s">
        <v>519</v>
      </c>
      <c r="D73" s="2" t="s">
        <v>520</v>
      </c>
      <c r="E73" s="20" t="s">
        <v>521</v>
      </c>
    </row>
    <row r="74" ht="15.75" customHeight="1">
      <c r="A74" s="20"/>
      <c r="B74" s="20"/>
      <c r="C74" s="20"/>
      <c r="E74" s="20"/>
    </row>
    <row r="75" ht="15.75" customHeight="1">
      <c r="A75" s="20"/>
      <c r="B75" s="20"/>
      <c r="C75" s="20"/>
      <c r="E75" s="20"/>
    </row>
    <row r="76" ht="15.75" customHeight="1">
      <c r="A76" s="20"/>
      <c r="B76" s="20"/>
      <c r="C76" s="20"/>
      <c r="E76" s="20"/>
    </row>
    <row r="77" ht="15.75" customHeight="1">
      <c r="A77" s="20"/>
      <c r="B77" s="20"/>
      <c r="C77" s="20"/>
      <c r="E77" s="20"/>
    </row>
    <row r="78" ht="15.75" customHeight="1">
      <c r="A78" s="20"/>
      <c r="B78" s="20"/>
      <c r="C78" s="20"/>
      <c r="E78" s="20"/>
    </row>
    <row r="79" ht="15.75" customHeight="1">
      <c r="A79" s="20"/>
      <c r="B79" s="20"/>
      <c r="C79" s="20"/>
      <c r="E79" s="20"/>
    </row>
    <row r="80" ht="15.75" customHeight="1">
      <c r="A80" s="20"/>
      <c r="B80" s="20"/>
      <c r="C80" s="20"/>
      <c r="E80" s="20"/>
    </row>
    <row r="81" ht="15.75" customHeight="1">
      <c r="A81" s="20"/>
      <c r="B81" s="20"/>
      <c r="C81" s="20"/>
      <c r="E81" s="20"/>
    </row>
    <row r="82" ht="15.75" customHeight="1">
      <c r="A82" s="20"/>
      <c r="B82" s="20"/>
      <c r="C82" s="20"/>
      <c r="E82" s="20"/>
    </row>
    <row r="83" ht="15.75" customHeight="1">
      <c r="A83" s="20"/>
      <c r="B83" s="20"/>
      <c r="C83" s="20"/>
      <c r="E83" s="20"/>
    </row>
    <row r="84" ht="15.75" customHeight="1">
      <c r="A84" s="20"/>
      <c r="B84" s="20"/>
      <c r="C84" s="20"/>
      <c r="E84" s="20"/>
    </row>
    <row r="85" ht="15.75" customHeight="1">
      <c r="A85" s="20"/>
      <c r="B85" s="20"/>
      <c r="C85" s="20"/>
      <c r="E85" s="20"/>
    </row>
    <row r="86" ht="15.75" customHeight="1">
      <c r="A86" s="20"/>
      <c r="B86" s="20"/>
      <c r="C86" s="20"/>
      <c r="E86" s="20"/>
    </row>
    <row r="87" ht="15.75" customHeight="1">
      <c r="A87" s="20"/>
      <c r="B87" s="20"/>
      <c r="C87" s="20"/>
      <c r="E87" s="20"/>
    </row>
    <row r="88" ht="15.75" customHeight="1">
      <c r="A88" s="20"/>
      <c r="B88" s="20"/>
      <c r="C88" s="20"/>
      <c r="E88" s="20"/>
    </row>
    <row r="89" ht="15.75" customHeight="1">
      <c r="A89" s="20"/>
      <c r="B89" s="20"/>
      <c r="C89" s="20"/>
      <c r="E89" s="20"/>
    </row>
    <row r="90" ht="15.75" customHeight="1">
      <c r="A90" s="20"/>
      <c r="B90" s="20"/>
      <c r="C90" s="20"/>
      <c r="E90" s="20"/>
    </row>
    <row r="91" ht="15.75" customHeight="1">
      <c r="A91" s="20"/>
      <c r="B91" s="20"/>
      <c r="C91" s="20"/>
      <c r="E91" s="20"/>
    </row>
    <row r="92" ht="15.75" customHeight="1">
      <c r="A92" s="20"/>
      <c r="B92" s="20"/>
      <c r="C92" s="20"/>
      <c r="E92" s="20"/>
    </row>
    <row r="93" ht="15.75" customHeight="1">
      <c r="A93" s="20"/>
      <c r="B93" s="20"/>
      <c r="C93" s="20"/>
      <c r="E93" s="20"/>
    </row>
    <row r="94" ht="15.75" customHeight="1">
      <c r="A94" s="20"/>
      <c r="B94" s="20"/>
      <c r="C94" s="20"/>
      <c r="E94" s="20"/>
    </row>
    <row r="95" ht="15.75" customHeight="1">
      <c r="A95" s="20"/>
      <c r="B95" s="20"/>
      <c r="C95" s="20"/>
      <c r="E95" s="20"/>
    </row>
    <row r="96" ht="15.75" customHeight="1">
      <c r="A96" s="20"/>
      <c r="B96" s="20"/>
      <c r="C96" s="20"/>
      <c r="E96" s="20"/>
    </row>
    <row r="97" ht="15.75" customHeight="1">
      <c r="A97" s="20"/>
      <c r="B97" s="20"/>
      <c r="C97" s="20"/>
      <c r="E97" s="20"/>
    </row>
    <row r="98" ht="15.75" customHeight="1">
      <c r="A98" s="20"/>
      <c r="B98" s="20"/>
      <c r="C98" s="20"/>
      <c r="E98" s="20"/>
    </row>
    <row r="99" ht="15.75" customHeight="1">
      <c r="A99" s="20"/>
      <c r="B99" s="20"/>
      <c r="C99" s="20"/>
      <c r="E99" s="20"/>
    </row>
    <row r="100" ht="15.75" customHeight="1">
      <c r="A100" s="20"/>
      <c r="B100" s="20"/>
      <c r="C100" s="20"/>
      <c r="E100" s="20"/>
    </row>
    <row r="101" ht="15.75" customHeight="1">
      <c r="A101" s="20"/>
      <c r="B101" s="20"/>
      <c r="C101" s="20"/>
      <c r="E101" s="20"/>
    </row>
    <row r="102" ht="15.75" customHeight="1">
      <c r="A102" s="20"/>
      <c r="B102" s="20"/>
      <c r="C102" s="20"/>
      <c r="E102" s="20"/>
    </row>
    <row r="103" ht="15.75" customHeight="1">
      <c r="A103" s="20"/>
      <c r="B103" s="20"/>
      <c r="C103" s="20"/>
      <c r="E103" s="20"/>
    </row>
    <row r="104" ht="15.75" customHeight="1">
      <c r="A104" s="20"/>
      <c r="B104" s="20"/>
      <c r="C104" s="20"/>
      <c r="E104" s="20"/>
    </row>
    <row r="105" ht="15.75" customHeight="1">
      <c r="A105" s="20"/>
      <c r="B105" s="20"/>
      <c r="C105" s="20"/>
      <c r="E105" s="20"/>
    </row>
    <row r="106" ht="15.75" customHeight="1">
      <c r="A106" s="20"/>
      <c r="B106" s="20"/>
      <c r="C106" s="20"/>
      <c r="E106" s="20"/>
    </row>
    <row r="107" ht="15.75" customHeight="1">
      <c r="A107" s="20"/>
      <c r="B107" s="20"/>
      <c r="C107" s="20"/>
      <c r="E107" s="20"/>
    </row>
    <row r="108" ht="15.75" customHeight="1">
      <c r="A108" s="20"/>
      <c r="B108" s="20"/>
      <c r="C108" s="20"/>
      <c r="E108" s="20"/>
    </row>
    <row r="109" ht="15.75" customHeight="1">
      <c r="A109" s="20"/>
      <c r="B109" s="20"/>
      <c r="C109" s="20"/>
      <c r="E109" s="20"/>
    </row>
    <row r="110" ht="15.75" customHeight="1">
      <c r="A110" s="20"/>
      <c r="B110" s="20"/>
      <c r="C110" s="20"/>
      <c r="E110" s="20"/>
    </row>
    <row r="111" ht="15.75" customHeight="1">
      <c r="A111" s="20"/>
      <c r="B111" s="20"/>
      <c r="C111" s="20"/>
      <c r="E111" s="20"/>
    </row>
    <row r="112" ht="15.75" customHeight="1">
      <c r="A112" s="20"/>
      <c r="B112" s="20"/>
      <c r="C112" s="20"/>
      <c r="E112" s="20"/>
    </row>
    <row r="113" ht="15.75" customHeight="1">
      <c r="A113" s="20"/>
      <c r="B113" s="20"/>
      <c r="C113" s="20"/>
      <c r="E113" s="20"/>
    </row>
    <row r="114" ht="15.75" customHeight="1">
      <c r="A114" s="20"/>
      <c r="B114" s="20"/>
      <c r="C114" s="20"/>
      <c r="E114" s="20"/>
    </row>
    <row r="115" ht="15.75" customHeight="1">
      <c r="A115" s="20"/>
      <c r="B115" s="20"/>
      <c r="C115" s="20"/>
      <c r="E115" s="20"/>
    </row>
    <row r="116" ht="15.75" customHeight="1">
      <c r="A116" s="20"/>
      <c r="B116" s="20"/>
      <c r="C116" s="20"/>
      <c r="E116" s="20"/>
    </row>
    <row r="117" ht="15.75" customHeight="1">
      <c r="A117" s="20"/>
      <c r="B117" s="20"/>
      <c r="C117" s="20"/>
      <c r="E117" s="20"/>
    </row>
    <row r="118" ht="15.75" customHeight="1">
      <c r="A118" s="20"/>
      <c r="B118" s="20"/>
      <c r="C118" s="20"/>
      <c r="E118" s="20"/>
    </row>
    <row r="119" ht="15.75" customHeight="1">
      <c r="A119" s="20"/>
      <c r="B119" s="20"/>
      <c r="C119" s="20"/>
      <c r="E119" s="20"/>
    </row>
    <row r="120" ht="15.75" customHeight="1">
      <c r="A120" s="20"/>
      <c r="B120" s="20"/>
      <c r="C120" s="20"/>
      <c r="E120" s="20"/>
    </row>
    <row r="121" ht="15.75" customHeight="1">
      <c r="A121" s="20"/>
      <c r="B121" s="20"/>
      <c r="C121" s="20"/>
      <c r="E121" s="20"/>
    </row>
    <row r="122" ht="15.75" customHeight="1">
      <c r="A122" s="20"/>
      <c r="B122" s="20"/>
      <c r="C122" s="20"/>
      <c r="E122" s="20"/>
    </row>
    <row r="123" ht="15.75" customHeight="1">
      <c r="A123" s="20"/>
      <c r="B123" s="20"/>
      <c r="C123" s="20"/>
      <c r="E123" s="20"/>
    </row>
    <row r="124" ht="15.75" customHeight="1">
      <c r="A124" s="20"/>
      <c r="B124" s="20"/>
      <c r="C124" s="20"/>
      <c r="E124" s="20"/>
    </row>
    <row r="125" ht="15.75" customHeight="1">
      <c r="A125" s="20"/>
      <c r="B125" s="20"/>
      <c r="C125" s="20"/>
      <c r="E125" s="20"/>
    </row>
    <row r="126" ht="15.75" customHeight="1">
      <c r="A126" s="20"/>
      <c r="B126" s="20"/>
      <c r="C126" s="20"/>
      <c r="E126" s="20"/>
    </row>
    <row r="127" ht="15.75" customHeight="1">
      <c r="A127" s="20"/>
      <c r="B127" s="20"/>
      <c r="C127" s="20"/>
      <c r="E127" s="20"/>
    </row>
    <row r="128" ht="15.75" customHeight="1">
      <c r="A128" s="20"/>
      <c r="B128" s="20"/>
      <c r="C128" s="20"/>
      <c r="E128" s="20"/>
    </row>
    <row r="129" ht="15.75" customHeight="1">
      <c r="A129" s="20"/>
      <c r="B129" s="20"/>
      <c r="C129" s="20"/>
      <c r="E129" s="20"/>
    </row>
    <row r="130" ht="15.75" customHeight="1">
      <c r="A130" s="20"/>
      <c r="B130" s="20"/>
      <c r="C130" s="20"/>
      <c r="E130" s="20"/>
    </row>
    <row r="131" ht="15.75" customHeight="1">
      <c r="A131" s="20"/>
      <c r="B131" s="20"/>
      <c r="C131" s="20"/>
      <c r="E131" s="20"/>
    </row>
    <row r="132" ht="15.75" customHeight="1">
      <c r="A132" s="20"/>
      <c r="B132" s="20"/>
      <c r="C132" s="20"/>
      <c r="E132" s="20"/>
    </row>
    <row r="133" ht="15.75" customHeight="1">
      <c r="A133" s="20"/>
      <c r="B133" s="20"/>
      <c r="C133" s="20"/>
      <c r="E133" s="20"/>
    </row>
    <row r="134" ht="15.75" customHeight="1">
      <c r="A134" s="20"/>
      <c r="B134" s="20"/>
      <c r="C134" s="20"/>
      <c r="E134" s="20"/>
    </row>
    <row r="135" ht="15.75" customHeight="1">
      <c r="A135" s="20"/>
      <c r="B135" s="20"/>
      <c r="C135" s="20"/>
      <c r="E135" s="20"/>
    </row>
    <row r="136" ht="15.75" customHeight="1">
      <c r="A136" s="20"/>
      <c r="B136" s="20"/>
      <c r="C136" s="20"/>
      <c r="E136" s="20"/>
    </row>
    <row r="137" ht="15.75" customHeight="1">
      <c r="A137" s="20"/>
      <c r="B137" s="20"/>
      <c r="C137" s="20"/>
      <c r="E137" s="20"/>
    </row>
    <row r="138" ht="15.75" customHeight="1">
      <c r="A138" s="20"/>
      <c r="B138" s="20"/>
      <c r="C138" s="20"/>
      <c r="E138" s="20"/>
    </row>
    <row r="139" ht="15.75" customHeight="1">
      <c r="A139" s="20"/>
      <c r="B139" s="20"/>
      <c r="C139" s="20"/>
      <c r="E139" s="20"/>
    </row>
    <row r="140" ht="15.75" customHeight="1">
      <c r="A140" s="20"/>
      <c r="B140" s="20"/>
      <c r="C140" s="20"/>
      <c r="E140" s="20"/>
    </row>
    <row r="141" ht="15.75" customHeight="1">
      <c r="A141" s="20"/>
      <c r="B141" s="20"/>
      <c r="C141" s="20"/>
      <c r="E141" s="20"/>
    </row>
    <row r="142" ht="15.75" customHeight="1">
      <c r="A142" s="20"/>
      <c r="B142" s="20"/>
      <c r="C142" s="20"/>
      <c r="E142" s="20"/>
    </row>
    <row r="143" ht="15.75" customHeight="1">
      <c r="A143" s="20"/>
      <c r="B143" s="20"/>
      <c r="C143" s="20"/>
      <c r="E143" s="20"/>
    </row>
    <row r="144" ht="15.75" customHeight="1">
      <c r="A144" s="20"/>
      <c r="B144" s="20"/>
      <c r="C144" s="20"/>
      <c r="E144" s="20"/>
    </row>
    <row r="145" ht="15.75" customHeight="1">
      <c r="A145" s="20"/>
      <c r="B145" s="20"/>
      <c r="C145" s="20"/>
      <c r="E145" s="20"/>
    </row>
    <row r="146" ht="15.75" customHeight="1">
      <c r="A146" s="20"/>
      <c r="B146" s="20"/>
      <c r="C146" s="20"/>
      <c r="E146" s="20"/>
    </row>
    <row r="147" ht="15.75" customHeight="1">
      <c r="A147" s="20"/>
      <c r="B147" s="20"/>
      <c r="C147" s="20"/>
      <c r="E147" s="20"/>
    </row>
    <row r="148" ht="15.75" customHeight="1">
      <c r="A148" s="20"/>
      <c r="B148" s="20"/>
      <c r="C148" s="20"/>
      <c r="E148" s="20"/>
    </row>
    <row r="149" ht="15.75" customHeight="1">
      <c r="A149" s="20"/>
      <c r="B149" s="20"/>
      <c r="C149" s="20"/>
      <c r="E149" s="20"/>
    </row>
    <row r="150" ht="15.75" customHeight="1">
      <c r="A150" s="20"/>
      <c r="B150" s="20"/>
      <c r="C150" s="20"/>
      <c r="E150" s="20"/>
    </row>
    <row r="151" ht="15.75" customHeight="1">
      <c r="A151" s="20"/>
      <c r="B151" s="20"/>
      <c r="C151" s="20"/>
      <c r="E151" s="20"/>
    </row>
    <row r="152" ht="15.75" customHeight="1">
      <c r="A152" s="20"/>
      <c r="B152" s="20"/>
      <c r="C152" s="20"/>
      <c r="E152" s="20"/>
    </row>
    <row r="153" ht="15.75" customHeight="1">
      <c r="A153" s="20"/>
      <c r="B153" s="20"/>
      <c r="C153" s="20"/>
      <c r="E153" s="20"/>
    </row>
    <row r="154" ht="15.75" customHeight="1">
      <c r="A154" s="20"/>
      <c r="B154" s="20"/>
      <c r="C154" s="20"/>
      <c r="E154" s="20"/>
    </row>
    <row r="155" ht="15.75" customHeight="1">
      <c r="A155" s="20"/>
      <c r="B155" s="20"/>
      <c r="C155" s="20"/>
      <c r="E155" s="20"/>
    </row>
    <row r="156" ht="15.75" customHeight="1">
      <c r="A156" s="20"/>
      <c r="B156" s="20"/>
      <c r="C156" s="20"/>
      <c r="E156" s="20"/>
    </row>
    <row r="157" ht="15.75" customHeight="1">
      <c r="A157" s="20"/>
      <c r="B157" s="20"/>
      <c r="C157" s="20"/>
      <c r="E157" s="20"/>
    </row>
    <row r="158" ht="15.75" customHeight="1">
      <c r="A158" s="20"/>
      <c r="B158" s="20"/>
      <c r="C158" s="20"/>
      <c r="E158" s="20"/>
    </row>
    <row r="159" ht="15.75" customHeight="1">
      <c r="A159" s="20"/>
      <c r="B159" s="20"/>
      <c r="C159" s="20"/>
      <c r="E159" s="20"/>
    </row>
    <row r="160" ht="15.75" customHeight="1">
      <c r="A160" s="20"/>
      <c r="B160" s="20"/>
      <c r="C160" s="20"/>
      <c r="E160" s="20"/>
    </row>
    <row r="161" ht="15.75" customHeight="1">
      <c r="A161" s="20"/>
      <c r="B161" s="20"/>
      <c r="C161" s="20"/>
      <c r="E161" s="20"/>
    </row>
    <row r="162" ht="15.75" customHeight="1">
      <c r="A162" s="20"/>
      <c r="B162" s="20"/>
      <c r="C162" s="20"/>
      <c r="E162" s="20"/>
    </row>
    <row r="163" ht="15.75" customHeight="1">
      <c r="A163" s="20"/>
      <c r="B163" s="20"/>
      <c r="C163" s="20"/>
      <c r="E163" s="20"/>
    </row>
    <row r="164" ht="15.75" customHeight="1">
      <c r="A164" s="20"/>
      <c r="B164" s="20"/>
      <c r="C164" s="20"/>
      <c r="E164" s="20"/>
    </row>
    <row r="165" ht="15.75" customHeight="1">
      <c r="A165" s="20"/>
      <c r="B165" s="20"/>
      <c r="C165" s="20"/>
      <c r="E165" s="20"/>
    </row>
    <row r="166" ht="15.75" customHeight="1">
      <c r="A166" s="20"/>
      <c r="B166" s="20"/>
      <c r="C166" s="20"/>
      <c r="E166" s="20"/>
    </row>
    <row r="167" ht="15.75" customHeight="1">
      <c r="A167" s="20"/>
      <c r="B167" s="20"/>
      <c r="C167" s="20"/>
      <c r="E167" s="20"/>
    </row>
    <row r="168" ht="15.75" customHeight="1">
      <c r="A168" s="20"/>
      <c r="B168" s="20"/>
      <c r="C168" s="20"/>
      <c r="E168" s="20"/>
    </row>
    <row r="169" ht="15.75" customHeight="1">
      <c r="A169" s="20"/>
      <c r="B169" s="20"/>
      <c r="C169" s="20"/>
      <c r="E169" s="20"/>
    </row>
    <row r="170" ht="15.75" customHeight="1">
      <c r="A170" s="20"/>
      <c r="B170" s="20"/>
      <c r="C170" s="20"/>
      <c r="E170" s="20"/>
    </row>
    <row r="171" ht="15.75" customHeight="1">
      <c r="A171" s="20"/>
      <c r="B171" s="20"/>
      <c r="C171" s="20"/>
      <c r="E171" s="20"/>
    </row>
    <row r="172" ht="15.75" customHeight="1">
      <c r="A172" s="20"/>
      <c r="B172" s="20"/>
      <c r="C172" s="20"/>
      <c r="E172" s="20"/>
    </row>
    <row r="173" ht="15.75" customHeight="1">
      <c r="A173" s="20"/>
      <c r="B173" s="20"/>
      <c r="C173" s="20"/>
      <c r="E173" s="20"/>
    </row>
    <row r="174" ht="15.75" customHeight="1">
      <c r="A174" s="20"/>
      <c r="B174" s="20"/>
      <c r="C174" s="20"/>
      <c r="E174" s="20"/>
    </row>
    <row r="175" ht="15.75" customHeight="1">
      <c r="A175" s="20"/>
      <c r="B175" s="20"/>
      <c r="C175" s="20"/>
      <c r="E175" s="20"/>
    </row>
    <row r="176" ht="15.75" customHeight="1">
      <c r="A176" s="20"/>
      <c r="B176" s="20"/>
      <c r="C176" s="20"/>
      <c r="E176" s="20"/>
    </row>
    <row r="177" ht="15.75" customHeight="1">
      <c r="A177" s="20"/>
      <c r="B177" s="20"/>
      <c r="C177" s="20"/>
      <c r="E177" s="20"/>
    </row>
    <row r="178" ht="15.75" customHeight="1">
      <c r="A178" s="20"/>
      <c r="B178" s="20"/>
      <c r="C178" s="20"/>
      <c r="E178" s="20"/>
    </row>
    <row r="179" ht="15.75" customHeight="1">
      <c r="A179" s="20"/>
      <c r="B179" s="20"/>
      <c r="C179" s="20"/>
      <c r="E179" s="20"/>
    </row>
    <row r="180" ht="15.75" customHeight="1">
      <c r="A180" s="20"/>
      <c r="B180" s="20"/>
      <c r="C180" s="20"/>
      <c r="E180" s="20"/>
    </row>
    <row r="181" ht="15.75" customHeight="1">
      <c r="A181" s="20"/>
      <c r="B181" s="20"/>
      <c r="C181" s="20"/>
      <c r="E181" s="20"/>
    </row>
    <row r="182" ht="15.75" customHeight="1">
      <c r="A182" s="20"/>
      <c r="B182" s="20"/>
      <c r="C182" s="20"/>
      <c r="E182" s="20"/>
    </row>
    <row r="183" ht="15.75" customHeight="1">
      <c r="A183" s="20"/>
      <c r="B183" s="20"/>
      <c r="C183" s="20"/>
      <c r="E183" s="20"/>
    </row>
    <row r="184" ht="15.75" customHeight="1">
      <c r="A184" s="20"/>
      <c r="B184" s="20"/>
      <c r="C184" s="20"/>
      <c r="E184" s="20"/>
    </row>
    <row r="185" ht="15.75" customHeight="1">
      <c r="A185" s="20"/>
      <c r="B185" s="20"/>
      <c r="C185" s="20"/>
      <c r="E185" s="20"/>
    </row>
    <row r="186" ht="15.75" customHeight="1">
      <c r="A186" s="20"/>
      <c r="B186" s="20"/>
      <c r="C186" s="20"/>
      <c r="E186" s="20"/>
    </row>
    <row r="187" ht="15.75" customHeight="1">
      <c r="A187" s="20"/>
      <c r="B187" s="20"/>
      <c r="C187" s="20"/>
      <c r="E187" s="20"/>
    </row>
    <row r="188" ht="15.75" customHeight="1">
      <c r="A188" s="20"/>
      <c r="B188" s="20"/>
      <c r="C188" s="20"/>
      <c r="E188" s="20"/>
    </row>
    <row r="189" ht="15.75" customHeight="1">
      <c r="A189" s="20"/>
      <c r="B189" s="20"/>
      <c r="C189" s="20"/>
      <c r="E189" s="20"/>
    </row>
    <row r="190" ht="15.75" customHeight="1">
      <c r="A190" s="20"/>
      <c r="B190" s="20"/>
      <c r="C190" s="20"/>
      <c r="E190" s="20"/>
    </row>
    <row r="191" ht="15.75" customHeight="1">
      <c r="A191" s="20"/>
      <c r="B191" s="20"/>
      <c r="C191" s="20"/>
      <c r="E191" s="20"/>
    </row>
    <row r="192" ht="15.75" customHeight="1">
      <c r="A192" s="20"/>
      <c r="B192" s="20"/>
      <c r="C192" s="20"/>
      <c r="E192" s="20"/>
    </row>
    <row r="193" ht="15.75" customHeight="1">
      <c r="A193" s="20"/>
      <c r="B193" s="20"/>
      <c r="C193" s="20"/>
      <c r="E193" s="20"/>
    </row>
    <row r="194" ht="15.75" customHeight="1">
      <c r="A194" s="20"/>
      <c r="B194" s="20"/>
      <c r="C194" s="20"/>
      <c r="E194" s="20"/>
    </row>
    <row r="195" ht="15.75" customHeight="1">
      <c r="A195" s="20"/>
      <c r="B195" s="20"/>
      <c r="C195" s="20"/>
      <c r="E195" s="20"/>
    </row>
    <row r="196" ht="15.75" customHeight="1">
      <c r="A196" s="20"/>
      <c r="B196" s="20"/>
      <c r="C196" s="20"/>
      <c r="E196" s="20"/>
    </row>
    <row r="197" ht="15.75" customHeight="1">
      <c r="A197" s="20"/>
      <c r="B197" s="20"/>
      <c r="C197" s="20"/>
      <c r="E197" s="20"/>
    </row>
    <row r="198" ht="15.75" customHeight="1">
      <c r="A198" s="20"/>
      <c r="B198" s="20"/>
      <c r="C198" s="20"/>
      <c r="E198" s="20"/>
    </row>
    <row r="199" ht="15.75" customHeight="1">
      <c r="A199" s="20"/>
      <c r="B199" s="20"/>
      <c r="C199" s="20"/>
      <c r="E199" s="20"/>
    </row>
    <row r="200" ht="15.75" customHeight="1">
      <c r="A200" s="20"/>
      <c r="B200" s="20"/>
      <c r="C200" s="20"/>
      <c r="E200" s="20"/>
    </row>
    <row r="201" ht="15.75" customHeight="1">
      <c r="A201" s="20"/>
      <c r="B201" s="20"/>
      <c r="C201" s="20"/>
      <c r="E201" s="20"/>
    </row>
    <row r="202" ht="15.75" customHeight="1">
      <c r="A202" s="20"/>
      <c r="B202" s="20"/>
      <c r="C202" s="20"/>
      <c r="E202" s="20"/>
    </row>
    <row r="203" ht="15.75" customHeight="1">
      <c r="A203" s="20"/>
      <c r="B203" s="20"/>
      <c r="C203" s="20"/>
      <c r="E203" s="20"/>
    </row>
    <row r="204" ht="15.75" customHeight="1">
      <c r="A204" s="20"/>
      <c r="B204" s="20"/>
      <c r="C204" s="20"/>
      <c r="E204" s="20"/>
    </row>
    <row r="205" ht="15.75" customHeight="1">
      <c r="A205" s="20"/>
      <c r="B205" s="20"/>
      <c r="C205" s="20"/>
      <c r="E205" s="20"/>
    </row>
    <row r="206" ht="15.75" customHeight="1">
      <c r="A206" s="20"/>
      <c r="B206" s="20"/>
      <c r="C206" s="20"/>
      <c r="E206" s="20"/>
    </row>
    <row r="207" ht="15.75" customHeight="1">
      <c r="A207" s="20"/>
      <c r="B207" s="20"/>
      <c r="C207" s="20"/>
      <c r="E207" s="20"/>
    </row>
    <row r="208" ht="15.75" customHeight="1">
      <c r="A208" s="20"/>
      <c r="B208" s="20"/>
      <c r="C208" s="20"/>
      <c r="E208" s="20"/>
    </row>
    <row r="209" ht="15.75" customHeight="1">
      <c r="A209" s="20"/>
      <c r="B209" s="20"/>
      <c r="C209" s="20"/>
      <c r="E209" s="20"/>
    </row>
    <row r="210" ht="15.75" customHeight="1">
      <c r="A210" s="20"/>
      <c r="B210" s="20"/>
      <c r="C210" s="20"/>
      <c r="E210" s="20"/>
    </row>
    <row r="211" ht="15.75" customHeight="1">
      <c r="A211" s="20"/>
      <c r="B211" s="20"/>
      <c r="C211" s="20"/>
      <c r="E211" s="20"/>
    </row>
    <row r="212" ht="15.75" customHeight="1">
      <c r="A212" s="20"/>
      <c r="B212" s="20"/>
      <c r="C212" s="20"/>
      <c r="E212" s="20"/>
    </row>
    <row r="213" ht="15.75" customHeight="1">
      <c r="A213" s="20"/>
      <c r="B213" s="20"/>
      <c r="C213" s="20"/>
      <c r="E213" s="20"/>
    </row>
    <row r="214" ht="15.75" customHeight="1">
      <c r="A214" s="20"/>
      <c r="B214" s="20"/>
      <c r="C214" s="20"/>
      <c r="E214" s="20"/>
    </row>
    <row r="215" ht="15.75" customHeight="1">
      <c r="A215" s="20"/>
      <c r="B215" s="20"/>
      <c r="C215" s="20"/>
      <c r="E215" s="20"/>
    </row>
    <row r="216" ht="15.75" customHeight="1">
      <c r="A216" s="20"/>
      <c r="B216" s="20"/>
      <c r="C216" s="20"/>
      <c r="E216" s="20"/>
    </row>
    <row r="217" ht="15.75" customHeight="1">
      <c r="A217" s="20"/>
      <c r="B217" s="20"/>
      <c r="C217" s="20"/>
      <c r="E217" s="20"/>
    </row>
    <row r="218" ht="15.75" customHeight="1">
      <c r="A218" s="20"/>
      <c r="B218" s="20"/>
      <c r="C218" s="20"/>
      <c r="E218" s="20"/>
    </row>
    <row r="219" ht="15.75" customHeight="1">
      <c r="A219" s="20"/>
      <c r="B219" s="20"/>
      <c r="C219" s="20"/>
      <c r="E219" s="20"/>
    </row>
    <row r="220" ht="15.75" customHeight="1">
      <c r="A220" s="20"/>
      <c r="B220" s="20"/>
      <c r="C220" s="20"/>
      <c r="E220" s="20"/>
    </row>
    <row r="221" ht="15.75" customHeight="1">
      <c r="A221" s="20"/>
      <c r="B221" s="20"/>
      <c r="C221" s="20"/>
      <c r="E221" s="20"/>
    </row>
    <row r="222" ht="15.75" customHeight="1">
      <c r="A222" s="20"/>
      <c r="B222" s="20"/>
      <c r="C222" s="20"/>
      <c r="E222" s="20"/>
    </row>
    <row r="223" ht="15.75" customHeight="1">
      <c r="A223" s="20"/>
      <c r="B223" s="20"/>
      <c r="C223" s="20"/>
      <c r="E223" s="20"/>
    </row>
    <row r="224" ht="15.75" customHeight="1">
      <c r="A224" s="20"/>
      <c r="B224" s="20"/>
      <c r="C224" s="20"/>
      <c r="E224" s="20"/>
    </row>
    <row r="225" ht="15.75" customHeight="1">
      <c r="A225" s="20"/>
      <c r="B225" s="20"/>
      <c r="C225" s="20"/>
      <c r="E225" s="20"/>
    </row>
    <row r="226" ht="15.75" customHeight="1">
      <c r="A226" s="20"/>
      <c r="B226" s="20"/>
      <c r="C226" s="20"/>
      <c r="E226" s="20"/>
    </row>
    <row r="227" ht="15.75" customHeight="1">
      <c r="A227" s="20"/>
      <c r="B227" s="20"/>
      <c r="C227" s="20"/>
      <c r="E227" s="20"/>
    </row>
    <row r="228" ht="15.75" customHeight="1">
      <c r="A228" s="20"/>
      <c r="B228" s="20"/>
      <c r="C228" s="20"/>
      <c r="E228" s="20"/>
    </row>
    <row r="229" ht="15.75" customHeight="1">
      <c r="A229" s="20"/>
      <c r="B229" s="20"/>
      <c r="C229" s="20"/>
      <c r="E229" s="20"/>
    </row>
    <row r="230" ht="15.75" customHeight="1">
      <c r="A230" s="20"/>
      <c r="B230" s="20"/>
      <c r="C230" s="20"/>
      <c r="E230" s="20"/>
    </row>
    <row r="231" ht="15.75" customHeight="1">
      <c r="A231" s="20"/>
      <c r="B231" s="20"/>
      <c r="C231" s="20"/>
      <c r="E231" s="20"/>
    </row>
    <row r="232" ht="15.75" customHeight="1">
      <c r="A232" s="20"/>
      <c r="B232" s="20"/>
      <c r="C232" s="20"/>
      <c r="E232" s="20"/>
    </row>
    <row r="233" ht="15.75" customHeight="1">
      <c r="A233" s="20"/>
      <c r="B233" s="20"/>
      <c r="C233" s="20"/>
      <c r="E233" s="20"/>
    </row>
    <row r="234" ht="15.75" customHeight="1">
      <c r="A234" s="20"/>
      <c r="B234" s="20"/>
      <c r="C234" s="20"/>
      <c r="E234" s="20"/>
    </row>
    <row r="235" ht="15.75" customHeight="1">
      <c r="A235" s="20"/>
      <c r="B235" s="20"/>
      <c r="C235" s="20"/>
      <c r="E235" s="20"/>
    </row>
    <row r="236" ht="15.75" customHeight="1">
      <c r="A236" s="20"/>
      <c r="B236" s="20"/>
      <c r="C236" s="20"/>
      <c r="E236" s="20"/>
    </row>
    <row r="237" ht="15.75" customHeight="1">
      <c r="A237" s="20"/>
      <c r="B237" s="20"/>
      <c r="C237" s="20"/>
      <c r="E237" s="20"/>
    </row>
    <row r="238" ht="15.75" customHeight="1">
      <c r="A238" s="20"/>
      <c r="B238" s="20"/>
      <c r="C238" s="20"/>
      <c r="E238" s="20"/>
    </row>
    <row r="239" ht="15.75" customHeight="1">
      <c r="A239" s="20"/>
      <c r="B239" s="20"/>
      <c r="C239" s="20"/>
      <c r="E239" s="20"/>
    </row>
    <row r="240" ht="15.75" customHeight="1">
      <c r="A240" s="20"/>
      <c r="B240" s="20"/>
      <c r="C240" s="20"/>
      <c r="E240" s="20"/>
    </row>
    <row r="241" ht="15.75" customHeight="1">
      <c r="A241" s="20"/>
      <c r="B241" s="20"/>
      <c r="C241" s="20"/>
      <c r="E241" s="20"/>
    </row>
    <row r="242" ht="15.75" customHeight="1">
      <c r="A242" s="20"/>
      <c r="B242" s="20"/>
      <c r="C242" s="20"/>
      <c r="E242" s="20"/>
    </row>
    <row r="243" ht="15.75" customHeight="1">
      <c r="A243" s="20"/>
      <c r="B243" s="20"/>
      <c r="C243" s="20"/>
      <c r="E243" s="20"/>
    </row>
    <row r="244" ht="15.75" customHeight="1">
      <c r="A244" s="20"/>
      <c r="B244" s="20"/>
      <c r="C244" s="20"/>
      <c r="E244" s="20"/>
    </row>
    <row r="245" ht="15.75" customHeight="1">
      <c r="A245" s="20"/>
      <c r="B245" s="20"/>
      <c r="C245" s="20"/>
      <c r="E245" s="20"/>
    </row>
    <row r="246" ht="15.75" customHeight="1">
      <c r="A246" s="20"/>
      <c r="B246" s="20"/>
      <c r="C246" s="20"/>
      <c r="E246" s="20"/>
    </row>
    <row r="247" ht="15.75" customHeight="1">
      <c r="A247" s="20"/>
      <c r="B247" s="20"/>
      <c r="C247" s="20"/>
      <c r="E247" s="20"/>
    </row>
    <row r="248" ht="15.75" customHeight="1">
      <c r="A248" s="20"/>
      <c r="B248" s="20"/>
      <c r="C248" s="20"/>
      <c r="E248" s="20"/>
    </row>
    <row r="249" ht="15.75" customHeight="1">
      <c r="A249" s="20"/>
      <c r="B249" s="20"/>
      <c r="C249" s="20"/>
      <c r="E249" s="20"/>
    </row>
    <row r="250" ht="15.75" customHeight="1">
      <c r="A250" s="20"/>
      <c r="B250" s="20"/>
      <c r="C250" s="20"/>
      <c r="E250" s="20"/>
    </row>
    <row r="251" ht="15.75" customHeight="1">
      <c r="A251" s="20"/>
      <c r="B251" s="20"/>
      <c r="C251" s="20"/>
      <c r="E251" s="20"/>
    </row>
    <row r="252" ht="15.75" customHeight="1">
      <c r="A252" s="20"/>
      <c r="B252" s="20"/>
      <c r="C252" s="20"/>
      <c r="E252" s="20"/>
    </row>
    <row r="253" ht="15.75" customHeight="1">
      <c r="A253" s="20"/>
      <c r="B253" s="20"/>
      <c r="C253" s="20"/>
      <c r="E253" s="20"/>
    </row>
    <row r="254" ht="15.75" customHeight="1">
      <c r="A254" s="20"/>
      <c r="B254" s="20"/>
      <c r="C254" s="20"/>
      <c r="E254" s="20"/>
    </row>
    <row r="255" ht="15.75" customHeight="1">
      <c r="A255" s="20"/>
      <c r="B255" s="20"/>
      <c r="C255" s="20"/>
      <c r="E255" s="20"/>
    </row>
    <row r="256" ht="15.75" customHeight="1">
      <c r="A256" s="20"/>
      <c r="B256" s="20"/>
      <c r="C256" s="20"/>
      <c r="E256" s="20"/>
    </row>
    <row r="257" ht="15.75" customHeight="1">
      <c r="A257" s="20"/>
      <c r="B257" s="20"/>
      <c r="C257" s="20"/>
      <c r="E257" s="20"/>
    </row>
    <row r="258" ht="15.75" customHeight="1">
      <c r="A258" s="20"/>
      <c r="B258" s="20"/>
      <c r="C258" s="20"/>
      <c r="E258" s="20"/>
    </row>
    <row r="259" ht="15.75" customHeight="1">
      <c r="A259" s="20"/>
      <c r="B259" s="20"/>
      <c r="C259" s="20"/>
      <c r="E259" s="20"/>
    </row>
    <row r="260" ht="15.75" customHeight="1">
      <c r="A260" s="20"/>
      <c r="B260" s="20"/>
      <c r="C260" s="20"/>
      <c r="E260" s="20"/>
    </row>
    <row r="261" ht="15.75" customHeight="1">
      <c r="A261" s="20"/>
      <c r="B261" s="20"/>
      <c r="C261" s="20"/>
      <c r="E261" s="20"/>
    </row>
    <row r="262" ht="15.75" customHeight="1">
      <c r="A262" s="20"/>
      <c r="B262" s="20"/>
      <c r="C262" s="20"/>
      <c r="E262" s="20"/>
    </row>
    <row r="263" ht="15.75" customHeight="1">
      <c r="A263" s="20"/>
      <c r="B263" s="20"/>
      <c r="C263" s="20"/>
      <c r="E263" s="20"/>
    </row>
    <row r="264" ht="15.75" customHeight="1">
      <c r="A264" s="20"/>
      <c r="B264" s="20"/>
      <c r="C264" s="20"/>
      <c r="E264" s="20"/>
    </row>
    <row r="265" ht="15.75" customHeight="1">
      <c r="A265" s="20"/>
      <c r="B265" s="20"/>
      <c r="C265" s="20"/>
      <c r="E265" s="20"/>
    </row>
    <row r="266" ht="15.75" customHeight="1">
      <c r="A266" s="20"/>
      <c r="B266" s="20"/>
      <c r="C266" s="20"/>
      <c r="E266" s="20"/>
    </row>
    <row r="267" ht="15.75" customHeight="1">
      <c r="A267" s="20"/>
      <c r="B267" s="20"/>
      <c r="C267" s="20"/>
      <c r="E267" s="20"/>
    </row>
    <row r="268" ht="15.75" customHeight="1">
      <c r="A268" s="20"/>
      <c r="B268" s="20"/>
      <c r="C268" s="20"/>
      <c r="E268" s="20"/>
    </row>
    <row r="269" ht="15.75" customHeight="1">
      <c r="A269" s="20"/>
      <c r="B269" s="20"/>
      <c r="C269" s="20"/>
      <c r="E269" s="20"/>
    </row>
    <row r="270" ht="15.75" customHeight="1">
      <c r="A270" s="20"/>
      <c r="B270" s="20"/>
      <c r="C270" s="20"/>
      <c r="E270" s="20"/>
    </row>
    <row r="271" ht="15.75" customHeight="1">
      <c r="A271" s="20"/>
      <c r="B271" s="20"/>
      <c r="C271" s="20"/>
      <c r="E271" s="20"/>
    </row>
    <row r="272" ht="15.75" customHeight="1">
      <c r="A272" s="20"/>
      <c r="B272" s="20"/>
      <c r="C272" s="20"/>
      <c r="E272" s="20"/>
    </row>
    <row r="273" ht="15.75" customHeight="1">
      <c r="A273" s="20"/>
      <c r="B273" s="20"/>
      <c r="C273" s="20"/>
      <c r="E273" s="20"/>
    </row>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9.75"/>
    <col customWidth="1" min="2" max="2" width="72.25"/>
  </cols>
  <sheetData>
    <row r="1">
      <c r="A1" s="18" t="s">
        <v>555</v>
      </c>
      <c r="B1" s="18" t="s">
        <v>556</v>
      </c>
      <c r="C1" s="2"/>
      <c r="D1" s="2"/>
      <c r="E1" s="2"/>
      <c r="F1" s="2"/>
      <c r="G1" s="2"/>
      <c r="H1" s="2"/>
      <c r="I1" s="2"/>
      <c r="J1" s="2"/>
      <c r="K1" s="2"/>
      <c r="L1" s="2"/>
      <c r="M1" s="2"/>
      <c r="N1" s="2"/>
      <c r="O1" s="2"/>
      <c r="P1" s="2"/>
    </row>
    <row r="2">
      <c r="A2" s="18" t="s">
        <v>557</v>
      </c>
      <c r="B2" s="18" t="s">
        <v>212</v>
      </c>
      <c r="C2" s="2"/>
      <c r="D2" s="2"/>
      <c r="E2" s="2"/>
      <c r="F2" s="2"/>
      <c r="G2" s="2"/>
      <c r="H2" s="2"/>
      <c r="I2" s="2"/>
      <c r="J2" s="2"/>
      <c r="K2" s="2"/>
      <c r="L2" s="2"/>
      <c r="M2" s="2"/>
      <c r="N2" s="2"/>
      <c r="O2" s="2"/>
      <c r="P2" s="2"/>
    </row>
    <row r="3">
      <c r="A3" s="18" t="s">
        <v>558</v>
      </c>
      <c r="B3" s="18" t="s">
        <v>283</v>
      </c>
      <c r="C3" s="2"/>
      <c r="D3" s="2"/>
      <c r="E3" s="2"/>
      <c r="F3" s="2"/>
      <c r="G3" s="2"/>
      <c r="H3" s="2"/>
      <c r="I3" s="2"/>
      <c r="J3" s="2"/>
      <c r="K3" s="2"/>
      <c r="L3" s="2"/>
      <c r="M3" s="2"/>
      <c r="N3" s="2"/>
      <c r="O3" s="2"/>
      <c r="P3" s="2"/>
    </row>
    <row r="4">
      <c r="A4" s="18" t="s">
        <v>559</v>
      </c>
      <c r="B4" s="18" t="s">
        <v>283</v>
      </c>
      <c r="C4" s="2"/>
      <c r="D4" s="2"/>
      <c r="E4" s="2"/>
      <c r="F4" s="2"/>
      <c r="G4" s="2"/>
      <c r="H4" s="2"/>
      <c r="I4" s="2"/>
      <c r="J4" s="2"/>
      <c r="K4" s="2"/>
      <c r="L4" s="2"/>
      <c r="M4" s="2"/>
      <c r="N4" s="2"/>
      <c r="O4" s="2"/>
      <c r="P4" s="2"/>
    </row>
    <row r="5">
      <c r="A5" s="18" t="s">
        <v>560</v>
      </c>
      <c r="B5" s="18" t="s">
        <v>283</v>
      </c>
      <c r="C5" s="2"/>
      <c r="D5" s="2"/>
      <c r="E5" s="2"/>
      <c r="F5" s="2"/>
      <c r="G5" s="2"/>
      <c r="H5" s="2"/>
      <c r="I5" s="2"/>
      <c r="J5" s="2"/>
      <c r="K5" s="2"/>
      <c r="L5" s="2"/>
      <c r="M5" s="2"/>
      <c r="N5" s="2"/>
      <c r="O5" s="2"/>
      <c r="P5" s="2"/>
    </row>
    <row r="6">
      <c r="A6" s="18" t="s">
        <v>561</v>
      </c>
      <c r="B6" s="18" t="s">
        <v>562</v>
      </c>
      <c r="C6" s="2"/>
      <c r="D6" s="2"/>
      <c r="E6" s="2"/>
      <c r="F6" s="2"/>
      <c r="G6" s="2"/>
      <c r="H6" s="2"/>
      <c r="I6" s="2"/>
      <c r="J6" s="2"/>
      <c r="K6" s="2"/>
      <c r="L6" s="2"/>
      <c r="M6" s="2"/>
      <c r="N6" s="2"/>
      <c r="O6" s="2"/>
      <c r="P6" s="2"/>
    </row>
    <row r="7">
      <c r="A7" s="18" t="s">
        <v>563</v>
      </c>
      <c r="B7" s="18" t="s">
        <v>562</v>
      </c>
      <c r="C7" s="2"/>
      <c r="D7" s="2"/>
      <c r="E7" s="2"/>
      <c r="F7" s="2"/>
      <c r="G7" s="2"/>
      <c r="H7" s="2"/>
      <c r="I7" s="2"/>
      <c r="J7" s="2"/>
      <c r="K7" s="2"/>
      <c r="L7" s="2"/>
      <c r="M7" s="2"/>
      <c r="N7" s="2"/>
      <c r="O7" s="2"/>
      <c r="P7" s="2"/>
    </row>
    <row r="8">
      <c r="A8" s="18" t="s">
        <v>564</v>
      </c>
      <c r="B8" s="18" t="s">
        <v>565</v>
      </c>
      <c r="C8" s="2"/>
      <c r="D8" s="2"/>
      <c r="E8" s="2"/>
      <c r="F8" s="2"/>
      <c r="G8" s="2"/>
      <c r="H8" s="2"/>
      <c r="I8" s="2"/>
      <c r="J8" s="2"/>
      <c r="K8" s="2"/>
      <c r="L8" s="2"/>
      <c r="M8" s="2"/>
      <c r="N8" s="2"/>
      <c r="O8" s="2"/>
      <c r="P8" s="2"/>
    </row>
    <row r="9">
      <c r="A9" s="18" t="s">
        <v>566</v>
      </c>
      <c r="B9" s="18" t="s">
        <v>567</v>
      </c>
      <c r="C9" s="2"/>
      <c r="D9" s="2"/>
      <c r="E9" s="2"/>
      <c r="F9" s="2"/>
      <c r="G9" s="2"/>
      <c r="H9" s="2"/>
      <c r="I9" s="2"/>
      <c r="J9" s="2"/>
      <c r="K9" s="2"/>
      <c r="L9" s="2"/>
      <c r="M9" s="2"/>
      <c r="N9" s="2"/>
      <c r="O9" s="2"/>
      <c r="P9" s="2"/>
    </row>
    <row r="10">
      <c r="A10" s="18" t="s">
        <v>568</v>
      </c>
      <c r="B10" s="18" t="s">
        <v>569</v>
      </c>
      <c r="C10" s="2"/>
      <c r="D10" s="2"/>
      <c r="E10" s="2"/>
      <c r="F10" s="2"/>
      <c r="G10" s="2"/>
      <c r="H10" s="2"/>
      <c r="I10" s="2"/>
      <c r="J10" s="2"/>
      <c r="K10" s="2"/>
      <c r="L10" s="2"/>
      <c r="M10" s="2"/>
      <c r="N10" s="2"/>
      <c r="O10" s="2"/>
      <c r="P10" s="2"/>
    </row>
    <row r="11">
      <c r="A11" s="18" t="s">
        <v>570</v>
      </c>
      <c r="B11" s="18" t="s">
        <v>133</v>
      </c>
      <c r="C11" s="2"/>
      <c r="D11" s="2"/>
      <c r="E11" s="2"/>
      <c r="F11" s="2"/>
      <c r="G11" s="2"/>
      <c r="H11" s="2"/>
      <c r="I11" s="2"/>
      <c r="J11" s="2"/>
      <c r="K11" s="2"/>
      <c r="L11" s="2"/>
      <c r="M11" s="2"/>
      <c r="N11" s="2"/>
      <c r="O11" s="2"/>
      <c r="P11" s="2"/>
    </row>
    <row r="12">
      <c r="A12" s="18" t="s">
        <v>571</v>
      </c>
      <c r="B12" s="18" t="s">
        <v>562</v>
      </c>
      <c r="C12" s="2"/>
      <c r="D12" s="2"/>
      <c r="E12" s="2"/>
      <c r="F12" s="2"/>
      <c r="G12" s="2"/>
      <c r="H12" s="2"/>
      <c r="I12" s="2"/>
      <c r="J12" s="2"/>
      <c r="K12" s="2"/>
      <c r="L12" s="2"/>
      <c r="M12" s="2"/>
      <c r="N12" s="2"/>
      <c r="O12" s="2"/>
      <c r="P12" s="2"/>
    </row>
    <row r="13">
      <c r="A13" s="18" t="s">
        <v>572</v>
      </c>
      <c r="B13" s="18" t="s">
        <v>573</v>
      </c>
      <c r="C13" s="2"/>
      <c r="D13" s="2"/>
      <c r="E13" s="2"/>
      <c r="F13" s="2"/>
      <c r="G13" s="2"/>
      <c r="H13" s="2"/>
      <c r="I13" s="2"/>
      <c r="J13" s="2"/>
      <c r="K13" s="2"/>
      <c r="L13" s="2"/>
      <c r="M13" s="2"/>
      <c r="N13" s="2"/>
      <c r="O13" s="2"/>
      <c r="P13" s="2"/>
    </row>
    <row r="14">
      <c r="A14" s="18" t="s">
        <v>574</v>
      </c>
      <c r="B14" s="18" t="s">
        <v>84</v>
      </c>
      <c r="C14" s="2"/>
      <c r="D14" s="2"/>
      <c r="E14" s="2"/>
      <c r="F14" s="2"/>
      <c r="G14" s="2"/>
      <c r="H14" s="2"/>
      <c r="I14" s="2"/>
      <c r="J14" s="2"/>
      <c r="K14" s="2"/>
      <c r="L14" s="2"/>
      <c r="M14" s="2"/>
      <c r="N14" s="2"/>
      <c r="O14" s="2"/>
      <c r="P14" s="2"/>
    </row>
    <row r="15">
      <c r="A15" s="18" t="s">
        <v>264</v>
      </c>
      <c r="B15" s="18" t="s">
        <v>575</v>
      </c>
      <c r="C15" s="2"/>
      <c r="D15" s="2"/>
      <c r="E15" s="2"/>
      <c r="F15" s="2"/>
      <c r="G15" s="2"/>
      <c r="H15" s="2"/>
      <c r="I15" s="2"/>
      <c r="J15" s="2"/>
      <c r="K15" s="2"/>
      <c r="L15" s="2"/>
      <c r="M15" s="2"/>
      <c r="N15" s="2"/>
      <c r="O15" s="2"/>
      <c r="P15" s="2"/>
    </row>
    <row r="16">
      <c r="A16" s="18" t="s">
        <v>576</v>
      </c>
      <c r="B16" s="18" t="s">
        <v>577</v>
      </c>
      <c r="C16" s="2"/>
      <c r="D16" s="2"/>
      <c r="E16" s="2"/>
      <c r="F16" s="2"/>
      <c r="G16" s="2"/>
      <c r="H16" s="2"/>
      <c r="I16" s="2"/>
      <c r="J16" s="2"/>
      <c r="K16" s="2"/>
      <c r="L16" s="2"/>
      <c r="M16" s="2"/>
      <c r="N16" s="2"/>
      <c r="O16" s="2"/>
      <c r="P16" s="2"/>
    </row>
    <row r="17">
      <c r="A17" s="18" t="s">
        <v>578</v>
      </c>
      <c r="B17" s="18" t="s">
        <v>198</v>
      </c>
      <c r="C17" s="2"/>
      <c r="D17" s="2"/>
      <c r="E17" s="2"/>
      <c r="F17" s="2"/>
      <c r="G17" s="2"/>
      <c r="H17" s="2"/>
      <c r="I17" s="2"/>
      <c r="J17" s="2"/>
      <c r="K17" s="2"/>
      <c r="L17" s="2"/>
      <c r="M17" s="2"/>
      <c r="N17" s="2"/>
      <c r="O17" s="2"/>
      <c r="P17" s="2"/>
    </row>
    <row r="18">
      <c r="A18" s="18" t="s">
        <v>579</v>
      </c>
      <c r="B18" s="18" t="s">
        <v>580</v>
      </c>
      <c r="C18" s="2"/>
      <c r="D18" s="2"/>
      <c r="E18" s="2"/>
      <c r="F18" s="2"/>
      <c r="G18" s="2"/>
      <c r="H18" s="2"/>
      <c r="I18" s="2"/>
      <c r="J18" s="2"/>
      <c r="K18" s="2"/>
      <c r="L18" s="2"/>
      <c r="M18" s="2"/>
      <c r="N18" s="2"/>
      <c r="O18" s="2"/>
      <c r="P18" s="2"/>
    </row>
    <row r="19">
      <c r="A19" s="18" t="s">
        <v>581</v>
      </c>
      <c r="B19" s="18" t="s">
        <v>582</v>
      </c>
      <c r="C19" s="2"/>
      <c r="D19" s="2"/>
      <c r="E19" s="2"/>
      <c r="F19" s="2"/>
      <c r="G19" s="2"/>
      <c r="H19" s="2"/>
      <c r="I19" s="2"/>
      <c r="J19" s="2"/>
      <c r="K19" s="2"/>
      <c r="L19" s="2"/>
      <c r="M19" s="2"/>
      <c r="N19" s="2"/>
      <c r="O19" s="2"/>
      <c r="P19" s="2"/>
    </row>
    <row r="20">
      <c r="A20" s="18" t="s">
        <v>583</v>
      </c>
      <c r="B20" s="18" t="s">
        <v>584</v>
      </c>
      <c r="C20" s="2"/>
      <c r="D20" s="2"/>
      <c r="E20" s="2"/>
      <c r="F20" s="2"/>
      <c r="G20" s="2"/>
      <c r="H20" s="2"/>
      <c r="I20" s="2"/>
      <c r="J20" s="2"/>
      <c r="K20" s="2"/>
      <c r="L20" s="2"/>
      <c r="M20" s="2"/>
      <c r="N20" s="2"/>
      <c r="O20" s="2"/>
      <c r="P20" s="2"/>
    </row>
    <row r="21" ht="15.75" customHeight="1">
      <c r="A21" s="18" t="s">
        <v>585</v>
      </c>
      <c r="B21" s="18" t="s">
        <v>586</v>
      </c>
      <c r="C21" s="2"/>
      <c r="D21" s="2"/>
      <c r="E21" s="2"/>
      <c r="F21" s="2"/>
      <c r="G21" s="2"/>
      <c r="H21" s="2"/>
      <c r="I21" s="2"/>
      <c r="J21" s="2"/>
      <c r="K21" s="2"/>
      <c r="L21" s="2"/>
      <c r="M21" s="2"/>
      <c r="N21" s="2"/>
      <c r="O21" s="2"/>
      <c r="P21" s="2"/>
    </row>
    <row r="22" ht="15.75" customHeight="1">
      <c r="A22" s="18" t="s">
        <v>587</v>
      </c>
      <c r="B22" s="18" t="s">
        <v>588</v>
      </c>
      <c r="C22" s="2"/>
      <c r="D22" s="2"/>
      <c r="E22" s="2"/>
      <c r="F22" s="2"/>
      <c r="G22" s="2"/>
      <c r="H22" s="2"/>
      <c r="I22" s="2"/>
      <c r="J22" s="2"/>
      <c r="K22" s="2"/>
      <c r="L22" s="2"/>
      <c r="M22" s="2"/>
      <c r="N22" s="2"/>
      <c r="O22" s="2"/>
      <c r="P22" s="2"/>
    </row>
    <row r="23" ht="15.75" customHeight="1">
      <c r="A23" s="18" t="s">
        <v>589</v>
      </c>
      <c r="B23" s="18" t="s">
        <v>590</v>
      </c>
      <c r="C23" s="2"/>
      <c r="D23" s="2"/>
      <c r="E23" s="2"/>
      <c r="F23" s="2"/>
      <c r="G23" s="2"/>
      <c r="H23" s="2"/>
      <c r="I23" s="2"/>
      <c r="J23" s="2"/>
      <c r="K23" s="2"/>
      <c r="L23" s="2"/>
      <c r="M23" s="2"/>
      <c r="N23" s="2"/>
      <c r="O23" s="2"/>
      <c r="P23" s="2"/>
    </row>
    <row r="24" ht="15.75" customHeight="1">
      <c r="A24" s="18" t="s">
        <v>591</v>
      </c>
      <c r="B24" s="18" t="s">
        <v>592</v>
      </c>
      <c r="C24" s="2"/>
      <c r="D24" s="2"/>
      <c r="E24" s="2"/>
      <c r="F24" s="2"/>
      <c r="G24" s="2"/>
      <c r="H24" s="2"/>
      <c r="I24" s="2"/>
      <c r="J24" s="2"/>
      <c r="K24" s="2"/>
      <c r="L24" s="2"/>
      <c r="M24" s="2"/>
      <c r="N24" s="2"/>
      <c r="O24" s="2"/>
      <c r="P24" s="2"/>
    </row>
    <row r="25" ht="15.75" customHeight="1">
      <c r="A25" s="18" t="s">
        <v>593</v>
      </c>
      <c r="B25" s="18" t="s">
        <v>594</v>
      </c>
      <c r="C25" s="2"/>
      <c r="D25" s="2"/>
      <c r="E25" s="2"/>
      <c r="F25" s="2"/>
      <c r="G25" s="2"/>
      <c r="H25" s="2"/>
      <c r="I25" s="2"/>
      <c r="J25" s="2"/>
      <c r="K25" s="2"/>
      <c r="L25" s="2"/>
      <c r="M25" s="2"/>
      <c r="N25" s="2"/>
      <c r="O25" s="2"/>
      <c r="P25" s="2"/>
    </row>
    <row r="26" ht="15.75" customHeight="1">
      <c r="A26" s="18" t="s">
        <v>595</v>
      </c>
      <c r="B26" s="18" t="s">
        <v>596</v>
      </c>
      <c r="C26" s="2"/>
      <c r="D26" s="2"/>
      <c r="E26" s="2"/>
      <c r="F26" s="2"/>
      <c r="G26" s="2"/>
      <c r="H26" s="2"/>
      <c r="I26" s="2"/>
      <c r="J26" s="2"/>
      <c r="K26" s="2"/>
      <c r="L26" s="2"/>
      <c r="M26" s="2"/>
      <c r="N26" s="2"/>
      <c r="O26" s="2"/>
      <c r="P26" s="2"/>
    </row>
    <row r="27" ht="15.75" customHeight="1">
      <c r="A27" s="18" t="s">
        <v>597</v>
      </c>
      <c r="B27" s="18" t="s">
        <v>598</v>
      </c>
      <c r="C27" s="2"/>
      <c r="D27" s="2"/>
      <c r="E27" s="2"/>
      <c r="F27" s="2"/>
      <c r="G27" s="2"/>
      <c r="H27" s="2"/>
      <c r="I27" s="2"/>
      <c r="J27" s="2"/>
      <c r="K27" s="2"/>
      <c r="L27" s="2"/>
      <c r="M27" s="2"/>
      <c r="N27" s="2"/>
      <c r="O27" s="2"/>
      <c r="P27" s="2"/>
    </row>
    <row r="28" ht="15.75" customHeight="1">
      <c r="A28" s="18" t="s">
        <v>599</v>
      </c>
      <c r="B28" s="18" t="s">
        <v>600</v>
      </c>
      <c r="C28" s="2"/>
      <c r="D28" s="2"/>
      <c r="E28" s="2"/>
      <c r="F28" s="2"/>
      <c r="G28" s="2"/>
      <c r="H28" s="2"/>
      <c r="I28" s="2"/>
      <c r="J28" s="2"/>
      <c r="K28" s="2"/>
      <c r="L28" s="2"/>
      <c r="M28" s="2"/>
      <c r="N28" s="2"/>
      <c r="O28" s="2"/>
      <c r="P28" s="2"/>
    </row>
    <row r="29" ht="15.75" customHeight="1">
      <c r="A29" s="18" t="s">
        <v>601</v>
      </c>
      <c r="B29" s="18" t="s">
        <v>179</v>
      </c>
      <c r="C29" s="2"/>
      <c r="D29" s="2"/>
      <c r="E29" s="2"/>
      <c r="F29" s="2"/>
      <c r="G29" s="2"/>
      <c r="H29" s="2"/>
      <c r="I29" s="2"/>
      <c r="J29" s="2"/>
      <c r="K29" s="2"/>
      <c r="L29" s="2"/>
      <c r="M29" s="2"/>
      <c r="N29" s="2"/>
      <c r="O29" s="2"/>
      <c r="P29" s="2"/>
    </row>
    <row r="30" ht="15.75" customHeight="1">
      <c r="A30" s="18" t="s">
        <v>602</v>
      </c>
      <c r="B30" s="18" t="s">
        <v>603</v>
      </c>
      <c r="C30" s="2"/>
      <c r="D30" s="2"/>
      <c r="E30" s="2"/>
      <c r="F30" s="2"/>
      <c r="G30" s="2"/>
      <c r="H30" s="2"/>
      <c r="I30" s="2"/>
      <c r="J30" s="2"/>
      <c r="K30" s="2"/>
      <c r="L30" s="2"/>
      <c r="M30" s="2"/>
      <c r="N30" s="2"/>
      <c r="O30" s="2"/>
      <c r="P30" s="2"/>
    </row>
    <row r="31" ht="15.75" customHeight="1">
      <c r="A31" s="18" t="s">
        <v>604</v>
      </c>
      <c r="B31" s="18" t="s">
        <v>605</v>
      </c>
      <c r="C31" s="2"/>
      <c r="D31" s="2"/>
      <c r="E31" s="2"/>
      <c r="F31" s="2"/>
      <c r="G31" s="2"/>
      <c r="H31" s="2"/>
      <c r="I31" s="2"/>
      <c r="J31" s="2"/>
      <c r="K31" s="2"/>
      <c r="L31" s="2"/>
      <c r="M31" s="2"/>
      <c r="N31" s="2"/>
      <c r="O31" s="2"/>
      <c r="P31" s="2"/>
    </row>
    <row r="32" ht="15.75" customHeight="1">
      <c r="A32" s="18" t="s">
        <v>606</v>
      </c>
      <c r="B32" s="18" t="s">
        <v>607</v>
      </c>
      <c r="C32" s="2"/>
      <c r="D32" s="2"/>
      <c r="E32" s="2"/>
      <c r="F32" s="2"/>
      <c r="G32" s="2"/>
      <c r="H32" s="2"/>
      <c r="I32" s="2"/>
      <c r="J32" s="2"/>
      <c r="K32" s="2"/>
      <c r="L32" s="2"/>
      <c r="M32" s="2"/>
      <c r="N32" s="2"/>
      <c r="O32" s="2"/>
      <c r="P32" s="2"/>
    </row>
    <row r="33" ht="15.75" customHeight="1">
      <c r="A33" s="18" t="s">
        <v>608</v>
      </c>
      <c r="B33" s="18" t="s">
        <v>609</v>
      </c>
      <c r="C33" s="2"/>
      <c r="D33" s="2"/>
      <c r="E33" s="2"/>
      <c r="F33" s="2"/>
      <c r="G33" s="2"/>
      <c r="H33" s="2"/>
      <c r="I33" s="2"/>
      <c r="J33" s="2"/>
      <c r="K33" s="2"/>
      <c r="L33" s="2"/>
      <c r="M33" s="2"/>
      <c r="N33" s="2"/>
      <c r="O33" s="2"/>
      <c r="P33" s="2"/>
    </row>
    <row r="34" ht="15.75" customHeight="1">
      <c r="A34" s="18" t="s">
        <v>610</v>
      </c>
      <c r="B34" s="18" t="s">
        <v>611</v>
      </c>
      <c r="C34" s="2"/>
      <c r="D34" s="2"/>
      <c r="E34" s="2"/>
      <c r="F34" s="2"/>
      <c r="G34" s="2"/>
      <c r="H34" s="2"/>
      <c r="I34" s="2"/>
      <c r="J34" s="2"/>
      <c r="K34" s="2"/>
      <c r="L34" s="2"/>
      <c r="M34" s="2"/>
      <c r="N34" s="2"/>
      <c r="O34" s="2"/>
      <c r="P34" s="2"/>
    </row>
    <row r="35" ht="15.75" customHeight="1">
      <c r="A35" s="18" t="s">
        <v>612</v>
      </c>
      <c r="B35" s="18" t="s">
        <v>613</v>
      </c>
      <c r="C35" s="2"/>
      <c r="D35" s="2"/>
      <c r="E35" s="2"/>
      <c r="F35" s="2"/>
      <c r="G35" s="2"/>
      <c r="H35" s="2"/>
      <c r="I35" s="2"/>
      <c r="J35" s="2"/>
      <c r="K35" s="2"/>
      <c r="L35" s="2"/>
      <c r="M35" s="2"/>
      <c r="N35" s="2"/>
      <c r="O35" s="2"/>
      <c r="P35" s="2"/>
    </row>
    <row r="36" ht="15.75" customHeight="1">
      <c r="A36" s="18" t="s">
        <v>614</v>
      </c>
      <c r="B36" s="18" t="s">
        <v>615</v>
      </c>
      <c r="C36" s="2"/>
      <c r="D36" s="2"/>
      <c r="E36" s="2"/>
      <c r="F36" s="2"/>
      <c r="G36" s="2"/>
      <c r="H36" s="2"/>
      <c r="I36" s="2"/>
      <c r="J36" s="2"/>
      <c r="K36" s="2"/>
      <c r="L36" s="2"/>
      <c r="M36" s="2"/>
      <c r="N36" s="2"/>
      <c r="O36" s="2"/>
      <c r="P36" s="2"/>
    </row>
    <row r="37" ht="15.75" customHeight="1">
      <c r="A37" s="18" t="s">
        <v>616</v>
      </c>
      <c r="B37" s="18" t="s">
        <v>617</v>
      </c>
      <c r="C37" s="2"/>
      <c r="D37" s="2"/>
      <c r="E37" s="2"/>
      <c r="F37" s="2"/>
      <c r="G37" s="2"/>
      <c r="H37" s="2"/>
      <c r="I37" s="2"/>
      <c r="J37" s="2"/>
      <c r="K37" s="2"/>
      <c r="L37" s="2"/>
      <c r="M37" s="2"/>
      <c r="N37" s="2"/>
      <c r="O37" s="2"/>
      <c r="P37" s="2"/>
    </row>
    <row r="38" ht="15.75" customHeight="1">
      <c r="A38" s="18" t="s">
        <v>618</v>
      </c>
      <c r="B38" s="18" t="s">
        <v>619</v>
      </c>
      <c r="C38" s="2"/>
      <c r="D38" s="2"/>
      <c r="E38" s="2"/>
      <c r="F38" s="2"/>
      <c r="G38" s="2"/>
      <c r="H38" s="2"/>
      <c r="I38" s="2"/>
      <c r="J38" s="2"/>
      <c r="K38" s="2"/>
      <c r="L38" s="2"/>
      <c r="M38" s="2"/>
      <c r="N38" s="2"/>
      <c r="O38" s="2"/>
      <c r="P38" s="2"/>
    </row>
    <row r="39" ht="15.75" customHeight="1">
      <c r="A39" s="18" t="s">
        <v>620</v>
      </c>
      <c r="B39" s="18" t="s">
        <v>621</v>
      </c>
      <c r="C39" s="2"/>
      <c r="D39" s="2"/>
      <c r="E39" s="2"/>
      <c r="F39" s="2"/>
      <c r="G39" s="2"/>
      <c r="H39" s="2"/>
      <c r="I39" s="2"/>
      <c r="J39" s="2"/>
      <c r="K39" s="2"/>
      <c r="L39" s="2"/>
      <c r="M39" s="2"/>
      <c r="N39" s="2"/>
      <c r="O39" s="2"/>
      <c r="P39" s="2"/>
    </row>
    <row r="40" ht="15.75" customHeight="1">
      <c r="A40" s="18" t="s">
        <v>622</v>
      </c>
      <c r="B40" s="18" t="s">
        <v>84</v>
      </c>
      <c r="C40" s="2"/>
      <c r="D40" s="2"/>
      <c r="E40" s="2"/>
      <c r="F40" s="2"/>
      <c r="G40" s="2"/>
      <c r="H40" s="2"/>
      <c r="I40" s="2"/>
      <c r="J40" s="2"/>
      <c r="K40" s="2"/>
      <c r="L40" s="2"/>
      <c r="M40" s="2"/>
      <c r="N40" s="2"/>
      <c r="O40" s="2"/>
      <c r="P40" s="2"/>
    </row>
    <row r="41" ht="15.75" customHeight="1">
      <c r="A41" s="18" t="s">
        <v>623</v>
      </c>
      <c r="B41" s="18" t="s">
        <v>133</v>
      </c>
      <c r="C41" s="2"/>
      <c r="D41" s="2"/>
      <c r="E41" s="2"/>
      <c r="F41" s="2"/>
      <c r="G41" s="2"/>
      <c r="H41" s="2"/>
      <c r="I41" s="2"/>
      <c r="J41" s="2"/>
      <c r="K41" s="2"/>
      <c r="L41" s="2"/>
      <c r="M41" s="2"/>
      <c r="N41" s="2"/>
      <c r="O41" s="2"/>
      <c r="P41" s="2"/>
    </row>
    <row r="42" ht="15.75" customHeight="1">
      <c r="A42" s="18" t="s">
        <v>624</v>
      </c>
      <c r="B42" s="18" t="s">
        <v>625</v>
      </c>
      <c r="C42" s="2"/>
      <c r="D42" s="2"/>
      <c r="E42" s="2"/>
      <c r="F42" s="2"/>
      <c r="G42" s="2"/>
      <c r="H42" s="2"/>
      <c r="I42" s="2"/>
      <c r="J42" s="2"/>
      <c r="K42" s="2"/>
      <c r="L42" s="2"/>
      <c r="M42" s="2"/>
      <c r="N42" s="2"/>
      <c r="O42" s="2"/>
      <c r="P42" s="2"/>
    </row>
    <row r="43" ht="15.75" customHeight="1">
      <c r="A43" s="18" t="s">
        <v>626</v>
      </c>
      <c r="B43" s="18" t="s">
        <v>212</v>
      </c>
      <c r="C43" s="2"/>
      <c r="D43" s="2"/>
      <c r="E43" s="2"/>
      <c r="F43" s="2"/>
      <c r="G43" s="2"/>
      <c r="H43" s="2"/>
      <c r="I43" s="2"/>
      <c r="J43" s="2"/>
      <c r="K43" s="2"/>
      <c r="L43" s="2"/>
      <c r="M43" s="2"/>
      <c r="N43" s="2"/>
      <c r="O43" s="2"/>
      <c r="P43" s="2"/>
    </row>
    <row r="44" ht="15.75" customHeight="1">
      <c r="A44" s="18" t="s">
        <v>627</v>
      </c>
      <c r="B44" s="18" t="s">
        <v>628</v>
      </c>
      <c r="C44" s="2"/>
      <c r="D44" s="2"/>
      <c r="E44" s="2"/>
      <c r="F44" s="2"/>
      <c r="G44" s="2"/>
      <c r="H44" s="2"/>
      <c r="I44" s="2"/>
      <c r="J44" s="2"/>
      <c r="K44" s="2"/>
      <c r="L44" s="2"/>
      <c r="M44" s="2"/>
      <c r="N44" s="2"/>
      <c r="O44" s="2"/>
      <c r="P44" s="2"/>
    </row>
    <row r="45" ht="15.75" customHeight="1">
      <c r="A45" s="18" t="s">
        <v>629</v>
      </c>
      <c r="B45" s="18" t="s">
        <v>630</v>
      </c>
      <c r="C45" s="2"/>
      <c r="D45" s="2"/>
      <c r="E45" s="2"/>
      <c r="F45" s="2"/>
      <c r="G45" s="2"/>
      <c r="H45" s="2"/>
      <c r="I45" s="2"/>
      <c r="J45" s="2"/>
      <c r="K45" s="2"/>
      <c r="L45" s="2"/>
      <c r="M45" s="2"/>
      <c r="N45" s="2"/>
      <c r="O45" s="2"/>
      <c r="P45" s="2"/>
    </row>
    <row r="46" ht="15.75" customHeight="1">
      <c r="A46" s="18" t="s">
        <v>631</v>
      </c>
      <c r="B46" s="18" t="s">
        <v>632</v>
      </c>
      <c r="C46" s="2"/>
      <c r="D46" s="2"/>
      <c r="E46" s="2"/>
      <c r="F46" s="2"/>
      <c r="G46" s="2"/>
      <c r="H46" s="2"/>
      <c r="I46" s="2"/>
      <c r="J46" s="2"/>
      <c r="K46" s="2"/>
      <c r="L46" s="2"/>
      <c r="M46" s="2"/>
      <c r="N46" s="2"/>
      <c r="O46" s="2"/>
      <c r="P46" s="2"/>
    </row>
    <row r="47" ht="15.75" customHeight="1">
      <c r="A47" s="18" t="s">
        <v>633</v>
      </c>
      <c r="B47" s="18" t="s">
        <v>634</v>
      </c>
      <c r="C47" s="2"/>
      <c r="D47" s="2"/>
      <c r="E47" s="2"/>
      <c r="F47" s="2"/>
      <c r="G47" s="2"/>
      <c r="H47" s="2"/>
      <c r="I47" s="2"/>
      <c r="J47" s="2"/>
      <c r="K47" s="2"/>
      <c r="L47" s="2"/>
      <c r="M47" s="2"/>
      <c r="N47" s="2"/>
      <c r="O47" s="2"/>
      <c r="P47" s="2"/>
    </row>
    <row r="48" ht="15.75" customHeight="1">
      <c r="A48" s="18" t="s">
        <v>635</v>
      </c>
      <c r="B48" s="18" t="s">
        <v>636</v>
      </c>
      <c r="C48" s="2"/>
      <c r="D48" s="2"/>
      <c r="E48" s="2"/>
      <c r="F48" s="2"/>
      <c r="G48" s="2"/>
      <c r="H48" s="2"/>
      <c r="I48" s="2"/>
      <c r="J48" s="2"/>
      <c r="K48" s="2"/>
      <c r="L48" s="2"/>
      <c r="M48" s="2"/>
      <c r="N48" s="2"/>
      <c r="O48" s="2"/>
      <c r="P48" s="2"/>
    </row>
    <row r="49" ht="15.75" customHeight="1">
      <c r="A49" s="18" t="s">
        <v>637</v>
      </c>
      <c r="B49" s="18" t="s">
        <v>638</v>
      </c>
      <c r="C49" s="2"/>
      <c r="D49" s="2"/>
      <c r="E49" s="2"/>
      <c r="F49" s="2"/>
      <c r="G49" s="2"/>
      <c r="H49" s="2"/>
      <c r="I49" s="2"/>
      <c r="J49" s="2"/>
      <c r="K49" s="2"/>
      <c r="L49" s="2"/>
      <c r="M49" s="2"/>
      <c r="N49" s="2"/>
      <c r="O49" s="2"/>
      <c r="P49" s="2"/>
    </row>
    <row r="50" ht="15.75" customHeight="1">
      <c r="A50" s="18" t="s">
        <v>639</v>
      </c>
      <c r="B50" s="18" t="s">
        <v>158</v>
      </c>
      <c r="C50" s="2"/>
      <c r="D50" s="2"/>
      <c r="E50" s="2"/>
      <c r="F50" s="2"/>
      <c r="G50" s="2"/>
      <c r="H50" s="2"/>
      <c r="I50" s="2"/>
      <c r="J50" s="2"/>
      <c r="K50" s="2"/>
      <c r="L50" s="2"/>
      <c r="M50" s="2"/>
      <c r="N50" s="2"/>
      <c r="O50" s="2"/>
      <c r="P50" s="2"/>
    </row>
    <row r="51" ht="15.75" customHeight="1">
      <c r="A51" s="18" t="s">
        <v>640</v>
      </c>
      <c r="B51" s="18" t="s">
        <v>641</v>
      </c>
      <c r="C51" s="2"/>
      <c r="D51" s="2"/>
      <c r="E51" s="2"/>
      <c r="F51" s="2"/>
      <c r="G51" s="2"/>
      <c r="H51" s="2"/>
      <c r="I51" s="2"/>
      <c r="J51" s="2"/>
      <c r="K51" s="2"/>
      <c r="L51" s="2"/>
      <c r="M51" s="2"/>
      <c r="N51" s="2"/>
      <c r="O51" s="2"/>
      <c r="P51" s="2"/>
    </row>
    <row r="52" ht="15.75" customHeight="1">
      <c r="A52" s="18" t="s">
        <v>642</v>
      </c>
      <c r="B52" s="18" t="s">
        <v>641</v>
      </c>
      <c r="C52" s="2"/>
      <c r="D52" s="2"/>
      <c r="E52" s="2"/>
      <c r="F52" s="2"/>
      <c r="G52" s="2"/>
      <c r="H52" s="2"/>
      <c r="I52" s="2"/>
      <c r="J52" s="2"/>
      <c r="K52" s="2"/>
      <c r="L52" s="2"/>
      <c r="M52" s="2"/>
      <c r="N52" s="2"/>
      <c r="O52" s="2"/>
      <c r="P52" s="2"/>
    </row>
    <row r="53" ht="15.75" customHeight="1">
      <c r="A53" s="18" t="s">
        <v>357</v>
      </c>
      <c r="B53" s="18" t="s">
        <v>643</v>
      </c>
      <c r="C53" s="2"/>
      <c r="D53" s="2"/>
      <c r="E53" s="2"/>
      <c r="F53" s="2"/>
      <c r="G53" s="2"/>
      <c r="H53" s="2"/>
      <c r="I53" s="2"/>
      <c r="J53" s="2"/>
      <c r="K53" s="2"/>
      <c r="L53" s="2"/>
      <c r="M53" s="2"/>
      <c r="N53" s="2"/>
      <c r="O53" s="2"/>
      <c r="P53" s="2"/>
    </row>
    <row r="54" ht="15.75" customHeight="1">
      <c r="A54" s="18" t="s">
        <v>644</v>
      </c>
      <c r="B54" s="18" t="s">
        <v>200</v>
      </c>
      <c r="C54" s="2"/>
      <c r="D54" s="2"/>
      <c r="E54" s="2"/>
      <c r="F54" s="2"/>
      <c r="G54" s="2"/>
      <c r="H54" s="2"/>
      <c r="I54" s="2"/>
      <c r="J54" s="2"/>
      <c r="K54" s="2"/>
      <c r="L54" s="2"/>
      <c r="M54" s="2"/>
      <c r="N54" s="2"/>
      <c r="O54" s="2"/>
      <c r="P54" s="2"/>
    </row>
    <row r="55" ht="15.75" customHeight="1">
      <c r="A55" s="18" t="s">
        <v>645</v>
      </c>
      <c r="B55" s="18" t="s">
        <v>646</v>
      </c>
      <c r="C55" s="2"/>
      <c r="D55" s="2"/>
      <c r="E55" s="2"/>
      <c r="F55" s="2"/>
      <c r="G55" s="2"/>
      <c r="H55" s="2"/>
      <c r="I55" s="2"/>
      <c r="J55" s="2"/>
      <c r="K55" s="2"/>
      <c r="L55" s="2"/>
      <c r="M55" s="2"/>
      <c r="N55" s="2"/>
      <c r="O55" s="2"/>
      <c r="P55" s="2"/>
    </row>
    <row r="56" ht="15.75" customHeight="1">
      <c r="A56" s="18" t="s">
        <v>647</v>
      </c>
      <c r="B56" s="18" t="s">
        <v>648</v>
      </c>
      <c r="C56" s="2"/>
      <c r="D56" s="2"/>
      <c r="E56" s="2"/>
      <c r="F56" s="2"/>
      <c r="G56" s="2"/>
      <c r="H56" s="2"/>
      <c r="I56" s="2"/>
      <c r="J56" s="2"/>
      <c r="K56" s="2"/>
      <c r="L56" s="2"/>
      <c r="M56" s="2"/>
      <c r="N56" s="2"/>
      <c r="O56" s="2"/>
      <c r="P56" s="2"/>
    </row>
    <row r="57" ht="15.75" customHeight="1">
      <c r="A57" s="18" t="s">
        <v>649</v>
      </c>
      <c r="B57" s="18" t="s">
        <v>650</v>
      </c>
      <c r="C57" s="2"/>
      <c r="D57" s="2"/>
      <c r="E57" s="2"/>
      <c r="F57" s="2"/>
      <c r="G57" s="2"/>
      <c r="H57" s="2"/>
      <c r="I57" s="2"/>
      <c r="J57" s="2"/>
      <c r="K57" s="2"/>
      <c r="L57" s="2"/>
      <c r="M57" s="2"/>
      <c r="N57" s="2"/>
      <c r="O57" s="2"/>
      <c r="P57" s="2"/>
    </row>
    <row r="58" ht="15.75" customHeight="1">
      <c r="A58" s="18" t="s">
        <v>651</v>
      </c>
      <c r="B58" s="18" t="s">
        <v>304</v>
      </c>
      <c r="C58" s="2"/>
      <c r="D58" s="2"/>
      <c r="E58" s="2"/>
      <c r="F58" s="2"/>
      <c r="G58" s="2"/>
      <c r="H58" s="2"/>
      <c r="I58" s="2"/>
      <c r="J58" s="2"/>
      <c r="K58" s="2"/>
      <c r="L58" s="2"/>
      <c r="M58" s="2"/>
      <c r="N58" s="2"/>
      <c r="O58" s="2"/>
      <c r="P58" s="2"/>
    </row>
    <row r="59" ht="15.75" customHeight="1">
      <c r="A59" s="18" t="s">
        <v>652</v>
      </c>
      <c r="B59" s="18" t="s">
        <v>218</v>
      </c>
      <c r="C59" s="2"/>
      <c r="D59" s="2"/>
      <c r="E59" s="2"/>
      <c r="F59" s="2"/>
      <c r="G59" s="2"/>
      <c r="H59" s="2"/>
      <c r="I59" s="2"/>
      <c r="J59" s="2"/>
      <c r="K59" s="2"/>
      <c r="L59" s="2"/>
      <c r="M59" s="2"/>
      <c r="N59" s="2"/>
      <c r="O59" s="2"/>
      <c r="P59" s="2"/>
    </row>
    <row r="60" ht="15.75" customHeight="1">
      <c r="A60" s="18" t="s">
        <v>653</v>
      </c>
      <c r="B60" s="18" t="s">
        <v>654</v>
      </c>
      <c r="C60" s="2"/>
      <c r="D60" s="2"/>
      <c r="E60" s="2"/>
      <c r="F60" s="2"/>
      <c r="G60" s="2"/>
      <c r="H60" s="2"/>
      <c r="I60" s="2"/>
      <c r="J60" s="2"/>
      <c r="K60" s="2"/>
      <c r="L60" s="2"/>
      <c r="M60" s="2"/>
      <c r="N60" s="2"/>
      <c r="O60" s="2"/>
      <c r="P60" s="2"/>
    </row>
    <row r="61" ht="15.75" customHeight="1">
      <c r="A61" s="18" t="s">
        <v>655</v>
      </c>
      <c r="B61" s="18" t="s">
        <v>656</v>
      </c>
      <c r="C61" s="2"/>
      <c r="D61" s="2"/>
      <c r="E61" s="2"/>
      <c r="F61" s="2"/>
      <c r="G61" s="2"/>
      <c r="H61" s="2"/>
      <c r="I61" s="2"/>
      <c r="J61" s="2"/>
      <c r="K61" s="2"/>
      <c r="L61" s="2"/>
      <c r="M61" s="2"/>
      <c r="N61" s="2"/>
      <c r="O61" s="2"/>
      <c r="P61" s="2"/>
    </row>
    <row r="62" ht="15.75" customHeight="1">
      <c r="A62" s="18" t="s">
        <v>657</v>
      </c>
      <c r="B62" s="18" t="s">
        <v>646</v>
      </c>
      <c r="C62" s="2"/>
      <c r="D62" s="2"/>
      <c r="E62" s="2"/>
      <c r="F62" s="2"/>
      <c r="G62" s="2"/>
      <c r="H62" s="2"/>
      <c r="I62" s="2"/>
      <c r="J62" s="2"/>
      <c r="K62" s="2"/>
      <c r="L62" s="2"/>
      <c r="M62" s="2"/>
      <c r="N62" s="2"/>
      <c r="O62" s="2"/>
      <c r="P62" s="2"/>
    </row>
    <row r="63" ht="15.75" customHeight="1">
      <c r="A63" s="18" t="s">
        <v>658</v>
      </c>
      <c r="B63" s="18" t="s">
        <v>125</v>
      </c>
      <c r="C63" s="2"/>
      <c r="D63" s="2"/>
      <c r="E63" s="2"/>
      <c r="F63" s="2"/>
      <c r="G63" s="2"/>
      <c r="H63" s="2"/>
      <c r="I63" s="2"/>
      <c r="J63" s="2"/>
      <c r="K63" s="2"/>
      <c r="L63" s="2"/>
      <c r="M63" s="2"/>
      <c r="N63" s="2"/>
      <c r="O63" s="2"/>
      <c r="P63" s="2"/>
    </row>
    <row r="64" ht="15.75" customHeight="1">
      <c r="A64" s="18" t="s">
        <v>659</v>
      </c>
      <c r="B64" s="18" t="s">
        <v>660</v>
      </c>
      <c r="C64" s="2"/>
      <c r="D64" s="2"/>
      <c r="E64" s="2"/>
      <c r="F64" s="2"/>
      <c r="G64" s="2"/>
      <c r="H64" s="2"/>
      <c r="I64" s="2"/>
      <c r="J64" s="2"/>
      <c r="K64" s="2"/>
      <c r="L64" s="2"/>
      <c r="M64" s="2"/>
      <c r="N64" s="2"/>
      <c r="O64" s="2"/>
      <c r="P64" s="2"/>
    </row>
    <row r="65" ht="15.75" customHeight="1">
      <c r="A65" s="18" t="s">
        <v>661</v>
      </c>
      <c r="B65" s="18" t="s">
        <v>662</v>
      </c>
      <c r="C65" s="2"/>
      <c r="D65" s="2"/>
      <c r="E65" s="2"/>
      <c r="F65" s="2"/>
      <c r="G65" s="2"/>
      <c r="H65" s="2"/>
      <c r="I65" s="2"/>
      <c r="J65" s="2"/>
      <c r="K65" s="2"/>
      <c r="L65" s="2"/>
      <c r="M65" s="2"/>
      <c r="N65" s="2"/>
      <c r="O65" s="2"/>
      <c r="P65" s="2"/>
    </row>
    <row r="66" ht="15.75" customHeight="1">
      <c r="A66" s="18" t="s">
        <v>663</v>
      </c>
      <c r="B66" s="18" t="s">
        <v>176</v>
      </c>
      <c r="C66" s="2"/>
      <c r="D66" s="2"/>
      <c r="E66" s="2"/>
      <c r="F66" s="2"/>
      <c r="G66" s="2"/>
      <c r="H66" s="2"/>
      <c r="I66" s="2"/>
      <c r="J66" s="2"/>
      <c r="K66" s="2"/>
      <c r="L66" s="2"/>
      <c r="M66" s="2"/>
      <c r="N66" s="2"/>
      <c r="O66" s="2"/>
      <c r="P66" s="2"/>
    </row>
    <row r="67" ht="15.75" customHeight="1">
      <c r="A67" s="18" t="s">
        <v>664</v>
      </c>
      <c r="B67" s="18" t="s">
        <v>316</v>
      </c>
      <c r="C67" s="2"/>
      <c r="D67" s="2"/>
      <c r="E67" s="2"/>
      <c r="F67" s="2"/>
      <c r="G67" s="2"/>
      <c r="H67" s="2"/>
      <c r="I67" s="2"/>
      <c r="J67" s="2"/>
      <c r="K67" s="2"/>
      <c r="L67" s="2"/>
      <c r="M67" s="2"/>
      <c r="N67" s="2"/>
      <c r="O67" s="2"/>
      <c r="P67" s="2"/>
    </row>
    <row r="68" ht="15.75" customHeight="1">
      <c r="A68" s="18" t="s">
        <v>665</v>
      </c>
      <c r="B68" s="18" t="s">
        <v>666</v>
      </c>
      <c r="C68" s="2"/>
      <c r="D68" s="2"/>
      <c r="E68" s="2"/>
      <c r="F68" s="2"/>
      <c r="G68" s="2"/>
      <c r="H68" s="2"/>
      <c r="I68" s="2"/>
      <c r="J68" s="2"/>
      <c r="K68" s="2"/>
      <c r="L68" s="2"/>
      <c r="M68" s="2"/>
      <c r="N68" s="2"/>
      <c r="O68" s="2"/>
      <c r="P68" s="2"/>
    </row>
    <row r="69" ht="15.75" customHeight="1">
      <c r="A69" s="18" t="s">
        <v>667</v>
      </c>
      <c r="B69" s="18" t="s">
        <v>668</v>
      </c>
      <c r="C69" s="2"/>
      <c r="D69" s="2"/>
      <c r="E69" s="2"/>
      <c r="F69" s="2"/>
      <c r="G69" s="2"/>
      <c r="H69" s="2"/>
      <c r="I69" s="2"/>
      <c r="J69" s="2"/>
      <c r="K69" s="2"/>
      <c r="L69" s="2"/>
      <c r="M69" s="2"/>
      <c r="N69" s="2"/>
      <c r="O69" s="2"/>
      <c r="P69" s="2"/>
    </row>
    <row r="70" ht="15.75" customHeight="1">
      <c r="A70" s="18" t="s">
        <v>669</v>
      </c>
      <c r="B70" s="18" t="s">
        <v>215</v>
      </c>
      <c r="C70" s="2"/>
      <c r="D70" s="2"/>
      <c r="E70" s="2"/>
      <c r="F70" s="2"/>
      <c r="G70" s="2"/>
      <c r="H70" s="2"/>
      <c r="I70" s="2"/>
      <c r="J70" s="2"/>
      <c r="K70" s="2"/>
      <c r="L70" s="2"/>
      <c r="M70" s="2"/>
      <c r="N70" s="2"/>
      <c r="O70" s="2"/>
      <c r="P70" s="2"/>
    </row>
    <row r="71" ht="15.75" customHeight="1">
      <c r="A71" s="18" t="s">
        <v>670</v>
      </c>
      <c r="B71" s="18" t="s">
        <v>671</v>
      </c>
      <c r="C71" s="2"/>
      <c r="D71" s="2"/>
      <c r="E71" s="2"/>
      <c r="F71" s="2"/>
      <c r="G71" s="2"/>
      <c r="H71" s="2"/>
      <c r="I71" s="2"/>
      <c r="J71" s="2"/>
      <c r="K71" s="2"/>
      <c r="L71" s="2"/>
      <c r="M71" s="2"/>
      <c r="N71" s="2"/>
      <c r="O71" s="2"/>
      <c r="P71" s="2"/>
    </row>
    <row r="72" ht="15.75" customHeight="1">
      <c r="A72" s="18" t="s">
        <v>672</v>
      </c>
      <c r="B72" s="18" t="s">
        <v>673</v>
      </c>
      <c r="C72" s="2"/>
      <c r="D72" s="2"/>
      <c r="E72" s="2"/>
      <c r="F72" s="2"/>
      <c r="G72" s="2"/>
      <c r="H72" s="2"/>
      <c r="I72" s="2"/>
      <c r="J72" s="2"/>
      <c r="K72" s="2"/>
      <c r="L72" s="2"/>
      <c r="M72" s="2"/>
      <c r="N72" s="2"/>
      <c r="O72" s="2"/>
      <c r="P72" s="2"/>
    </row>
    <row r="73" ht="15.75" customHeight="1">
      <c r="A73" s="18" t="s">
        <v>674</v>
      </c>
      <c r="B73" s="18" t="s">
        <v>675</v>
      </c>
      <c r="C73" s="2"/>
      <c r="D73" s="2"/>
      <c r="E73" s="2"/>
      <c r="F73" s="2"/>
      <c r="G73" s="2"/>
      <c r="H73" s="2"/>
      <c r="I73" s="2"/>
      <c r="J73" s="2"/>
      <c r="K73" s="2"/>
      <c r="L73" s="2"/>
      <c r="M73" s="2"/>
      <c r="N73" s="2"/>
      <c r="O73" s="2"/>
      <c r="P73" s="2"/>
    </row>
    <row r="74" ht="15.75" customHeight="1">
      <c r="A74" s="18" t="s">
        <v>676</v>
      </c>
      <c r="B74" s="18" t="s">
        <v>677</v>
      </c>
      <c r="C74" s="2"/>
      <c r="D74" s="2"/>
      <c r="E74" s="2"/>
      <c r="F74" s="2"/>
      <c r="G74" s="2"/>
      <c r="H74" s="2"/>
      <c r="I74" s="2"/>
      <c r="J74" s="2"/>
      <c r="K74" s="2"/>
      <c r="L74" s="2"/>
      <c r="M74" s="2"/>
      <c r="N74" s="2"/>
      <c r="O74" s="2"/>
      <c r="P74" s="2"/>
    </row>
    <row r="75" ht="15.75" customHeight="1">
      <c r="A75" s="18" t="s">
        <v>678</v>
      </c>
      <c r="B75" s="18" t="s">
        <v>679</v>
      </c>
      <c r="C75" s="2"/>
      <c r="D75" s="2"/>
      <c r="E75" s="2"/>
      <c r="F75" s="2"/>
      <c r="G75" s="2"/>
      <c r="H75" s="2"/>
      <c r="I75" s="2"/>
      <c r="J75" s="2"/>
      <c r="K75" s="2"/>
      <c r="L75" s="2"/>
      <c r="M75" s="2"/>
      <c r="N75" s="2"/>
      <c r="O75" s="2"/>
      <c r="P75" s="2"/>
    </row>
    <row r="76" ht="15.75" customHeight="1">
      <c r="A76" s="18" t="s">
        <v>680</v>
      </c>
      <c r="B76" s="18" t="s">
        <v>681</v>
      </c>
      <c r="C76" s="2"/>
      <c r="D76" s="2"/>
      <c r="E76" s="2"/>
      <c r="F76" s="2"/>
      <c r="G76" s="2"/>
      <c r="H76" s="2"/>
      <c r="I76" s="2"/>
      <c r="J76" s="2"/>
      <c r="K76" s="2"/>
      <c r="L76" s="2"/>
      <c r="M76" s="2"/>
      <c r="N76" s="2"/>
      <c r="O76" s="2"/>
      <c r="P76" s="2"/>
    </row>
    <row r="77" ht="15.75" customHeight="1">
      <c r="A77" s="18" t="s">
        <v>682</v>
      </c>
      <c r="B77" s="18" t="s">
        <v>683</v>
      </c>
      <c r="C77" s="2"/>
      <c r="D77" s="2"/>
      <c r="E77" s="2"/>
      <c r="F77" s="2"/>
      <c r="G77" s="2"/>
      <c r="H77" s="2"/>
      <c r="I77" s="2"/>
      <c r="J77" s="2"/>
      <c r="K77" s="2"/>
      <c r="L77" s="2"/>
      <c r="M77" s="2"/>
      <c r="N77" s="2"/>
      <c r="O77" s="2"/>
      <c r="P77" s="2"/>
    </row>
    <row r="78" ht="15.75" customHeight="1">
      <c r="A78" s="18" t="s">
        <v>684</v>
      </c>
      <c r="B78" s="18" t="s">
        <v>607</v>
      </c>
      <c r="C78" s="2"/>
      <c r="D78" s="2"/>
      <c r="E78" s="2"/>
      <c r="F78" s="2"/>
      <c r="G78" s="2"/>
      <c r="H78" s="2"/>
      <c r="I78" s="2"/>
      <c r="J78" s="2"/>
      <c r="K78" s="2"/>
      <c r="L78" s="2"/>
      <c r="M78" s="2"/>
      <c r="N78" s="2"/>
      <c r="O78" s="2"/>
      <c r="P78" s="2"/>
    </row>
    <row r="79" ht="15.75" customHeight="1">
      <c r="A79" s="18" t="s">
        <v>685</v>
      </c>
      <c r="B79" s="18" t="s">
        <v>686</v>
      </c>
      <c r="C79" s="2"/>
      <c r="D79" s="2"/>
      <c r="E79" s="2"/>
      <c r="F79" s="2"/>
      <c r="G79" s="2"/>
      <c r="H79" s="2"/>
      <c r="I79" s="2"/>
      <c r="J79" s="2"/>
      <c r="K79" s="2"/>
      <c r="L79" s="2"/>
      <c r="M79" s="2"/>
      <c r="N79" s="2"/>
      <c r="O79" s="2"/>
      <c r="P79" s="2"/>
    </row>
    <row r="80" ht="15.75" customHeight="1">
      <c r="A80" s="18" t="s">
        <v>687</v>
      </c>
      <c r="B80" s="18" t="s">
        <v>218</v>
      </c>
      <c r="C80" s="2"/>
      <c r="D80" s="2"/>
      <c r="E80" s="2"/>
      <c r="F80" s="2"/>
      <c r="G80" s="2"/>
      <c r="H80" s="2"/>
      <c r="I80" s="2"/>
      <c r="J80" s="2"/>
      <c r="K80" s="2"/>
      <c r="L80" s="2"/>
      <c r="M80" s="2"/>
      <c r="N80" s="2"/>
      <c r="O80" s="2"/>
      <c r="P80" s="2"/>
    </row>
    <row r="81" ht="15.75" customHeight="1">
      <c r="A81" s="18" t="s">
        <v>688</v>
      </c>
      <c r="B81" s="18" t="s">
        <v>129</v>
      </c>
      <c r="C81" s="2"/>
      <c r="D81" s="2"/>
      <c r="E81" s="2"/>
      <c r="F81" s="2"/>
      <c r="G81" s="2"/>
      <c r="H81" s="2"/>
      <c r="I81" s="2"/>
      <c r="J81" s="2"/>
      <c r="K81" s="2"/>
      <c r="L81" s="2"/>
      <c r="M81" s="2"/>
      <c r="N81" s="2"/>
      <c r="O81" s="2"/>
      <c r="P81" s="2"/>
    </row>
    <row r="82" ht="15.75" customHeight="1">
      <c r="A82" s="18" t="s">
        <v>689</v>
      </c>
      <c r="B82" s="18" t="s">
        <v>690</v>
      </c>
      <c r="C82" s="2"/>
      <c r="D82" s="2"/>
      <c r="E82" s="2"/>
      <c r="F82" s="2"/>
      <c r="G82" s="2"/>
      <c r="H82" s="2"/>
      <c r="I82" s="2"/>
      <c r="J82" s="2"/>
      <c r="K82" s="2"/>
      <c r="L82" s="2"/>
      <c r="M82" s="2"/>
      <c r="N82" s="2"/>
      <c r="O82" s="2"/>
      <c r="P82" s="2"/>
    </row>
    <row r="83" ht="15.75" customHeight="1">
      <c r="A83" s="18" t="s">
        <v>691</v>
      </c>
      <c r="B83" s="18" t="s">
        <v>692</v>
      </c>
      <c r="C83" s="2"/>
      <c r="D83" s="2"/>
      <c r="E83" s="2"/>
      <c r="F83" s="2"/>
      <c r="G83" s="2"/>
      <c r="H83" s="2"/>
      <c r="I83" s="2"/>
      <c r="J83" s="2"/>
      <c r="K83" s="2"/>
      <c r="L83" s="2"/>
      <c r="M83" s="2"/>
      <c r="N83" s="2"/>
      <c r="O83" s="2"/>
      <c r="P83" s="2"/>
    </row>
    <row r="84" ht="15.75" customHeight="1">
      <c r="A84" s="18" t="s">
        <v>693</v>
      </c>
      <c r="B84" s="18" t="s">
        <v>694</v>
      </c>
      <c r="C84" s="2"/>
      <c r="D84" s="2"/>
      <c r="E84" s="2"/>
      <c r="F84" s="2"/>
      <c r="G84" s="2"/>
      <c r="H84" s="2"/>
      <c r="I84" s="2"/>
      <c r="J84" s="2"/>
      <c r="K84" s="2"/>
      <c r="L84" s="2"/>
      <c r="M84" s="2"/>
      <c r="N84" s="2"/>
      <c r="O84" s="2"/>
      <c r="P84" s="2"/>
    </row>
    <row r="85" ht="15.75" customHeight="1">
      <c r="A85" s="18" t="s">
        <v>695</v>
      </c>
      <c r="B85" s="18" t="s">
        <v>316</v>
      </c>
      <c r="C85" s="2"/>
      <c r="D85" s="2"/>
      <c r="E85" s="2"/>
      <c r="F85" s="2"/>
      <c r="G85" s="2"/>
      <c r="H85" s="2"/>
      <c r="I85" s="2"/>
      <c r="J85" s="2"/>
      <c r="K85" s="2"/>
      <c r="L85" s="2"/>
      <c r="M85" s="2"/>
      <c r="N85" s="2"/>
      <c r="O85" s="2"/>
      <c r="P85" s="2"/>
    </row>
    <row r="86" ht="15.75" customHeight="1">
      <c r="A86" s="18" t="s">
        <v>696</v>
      </c>
      <c r="B86" s="18" t="s">
        <v>697</v>
      </c>
      <c r="C86" s="2"/>
      <c r="D86" s="2"/>
      <c r="E86" s="2"/>
      <c r="F86" s="2"/>
      <c r="G86" s="2"/>
      <c r="H86" s="2"/>
      <c r="I86" s="2"/>
      <c r="J86" s="2"/>
      <c r="K86" s="2"/>
      <c r="L86" s="2"/>
      <c r="M86" s="2"/>
      <c r="N86" s="2"/>
      <c r="O86" s="2"/>
      <c r="P86" s="2"/>
    </row>
    <row r="87" ht="15.75" customHeight="1">
      <c r="A87" s="18" t="s">
        <v>698</v>
      </c>
      <c r="B87" s="18" t="s">
        <v>699</v>
      </c>
      <c r="C87" s="2"/>
      <c r="D87" s="2"/>
      <c r="E87" s="2"/>
      <c r="F87" s="2"/>
      <c r="G87" s="2"/>
      <c r="H87" s="2"/>
      <c r="I87" s="2"/>
      <c r="J87" s="2"/>
      <c r="K87" s="2"/>
      <c r="L87" s="2"/>
      <c r="M87" s="2"/>
      <c r="N87" s="2"/>
      <c r="O87" s="2"/>
      <c r="P87" s="2"/>
    </row>
    <row r="88" ht="15.75" customHeight="1">
      <c r="A88" s="18" t="s">
        <v>700</v>
      </c>
      <c r="B88" s="18" t="s">
        <v>347</v>
      </c>
      <c r="C88" s="2"/>
      <c r="D88" s="2"/>
      <c r="E88" s="2"/>
      <c r="F88" s="2"/>
      <c r="G88" s="2"/>
      <c r="H88" s="2"/>
      <c r="I88" s="2"/>
      <c r="J88" s="2"/>
      <c r="K88" s="2"/>
      <c r="L88" s="2"/>
      <c r="M88" s="2"/>
      <c r="N88" s="2"/>
      <c r="O88" s="2"/>
      <c r="P88" s="2"/>
    </row>
    <row r="89" ht="15.75" customHeight="1">
      <c r="A89" s="18" t="s">
        <v>701</v>
      </c>
      <c r="B89" s="18" t="s">
        <v>702</v>
      </c>
      <c r="C89" s="2"/>
      <c r="D89" s="2"/>
      <c r="E89" s="2"/>
      <c r="F89" s="2"/>
      <c r="G89" s="2"/>
      <c r="H89" s="2"/>
      <c r="I89" s="2"/>
      <c r="J89" s="2"/>
      <c r="K89" s="2"/>
      <c r="L89" s="2"/>
      <c r="M89" s="2"/>
      <c r="N89" s="2"/>
      <c r="O89" s="2"/>
      <c r="P89" s="2"/>
    </row>
    <row r="90" ht="15.75" customHeight="1">
      <c r="A90" s="18" t="s">
        <v>703</v>
      </c>
      <c r="B90" s="18" t="s">
        <v>146</v>
      </c>
      <c r="C90" s="2"/>
      <c r="D90" s="2"/>
      <c r="E90" s="2"/>
      <c r="F90" s="2"/>
      <c r="G90" s="2"/>
      <c r="H90" s="2"/>
      <c r="I90" s="2"/>
      <c r="J90" s="2"/>
      <c r="K90" s="2"/>
      <c r="L90" s="2"/>
      <c r="M90" s="2"/>
      <c r="N90" s="2"/>
      <c r="O90" s="2"/>
      <c r="P90" s="2"/>
    </row>
    <row r="91" ht="15.75" customHeight="1">
      <c r="A91" s="18" t="s">
        <v>704</v>
      </c>
      <c r="B91" s="18" t="s">
        <v>705</v>
      </c>
      <c r="C91" s="2"/>
      <c r="D91" s="2"/>
      <c r="E91" s="2"/>
      <c r="F91" s="2"/>
      <c r="G91" s="2"/>
      <c r="H91" s="2"/>
      <c r="I91" s="2"/>
      <c r="J91" s="2"/>
      <c r="K91" s="2"/>
      <c r="L91" s="2"/>
      <c r="M91" s="2"/>
      <c r="N91" s="2"/>
      <c r="O91" s="2"/>
      <c r="P91" s="2"/>
    </row>
    <row r="92" ht="15.75" customHeight="1">
      <c r="A92" s="18" t="s">
        <v>454</v>
      </c>
      <c r="B92" s="18" t="s">
        <v>706</v>
      </c>
      <c r="C92" s="2"/>
      <c r="D92" s="2"/>
      <c r="E92" s="2"/>
      <c r="F92" s="2"/>
      <c r="G92" s="2"/>
      <c r="H92" s="2"/>
      <c r="I92" s="2"/>
      <c r="J92" s="2"/>
      <c r="K92" s="2"/>
      <c r="L92" s="2"/>
      <c r="M92" s="2"/>
      <c r="N92" s="2"/>
      <c r="O92" s="2"/>
      <c r="P92" s="2"/>
    </row>
    <row r="93" ht="15.75" customHeight="1">
      <c r="A93" s="18" t="s">
        <v>707</v>
      </c>
      <c r="B93" s="18" t="s">
        <v>666</v>
      </c>
      <c r="C93" s="2"/>
      <c r="D93" s="2"/>
      <c r="E93" s="2"/>
      <c r="F93" s="2"/>
      <c r="G93" s="2"/>
      <c r="H93" s="2"/>
      <c r="I93" s="2"/>
      <c r="J93" s="2"/>
      <c r="K93" s="2"/>
      <c r="L93" s="2"/>
      <c r="M93" s="2"/>
      <c r="N93" s="2"/>
      <c r="O93" s="2"/>
      <c r="P93" s="2"/>
    </row>
    <row r="94" ht="15.75" customHeight="1">
      <c r="A94" s="18" t="s">
        <v>708</v>
      </c>
      <c r="B94" s="18" t="s">
        <v>709</v>
      </c>
      <c r="C94" s="2"/>
      <c r="D94" s="2"/>
      <c r="E94" s="2"/>
      <c r="F94" s="2"/>
      <c r="G94" s="2"/>
      <c r="H94" s="2"/>
      <c r="I94" s="2"/>
      <c r="J94" s="2"/>
      <c r="K94" s="2"/>
      <c r="L94" s="2"/>
      <c r="M94" s="2"/>
      <c r="N94" s="2"/>
      <c r="O94" s="2"/>
      <c r="P94" s="2"/>
    </row>
    <row r="95" ht="15.75" customHeight="1">
      <c r="A95" s="18" t="s">
        <v>710</v>
      </c>
      <c r="B95" s="18" t="s">
        <v>146</v>
      </c>
      <c r="C95" s="2"/>
      <c r="D95" s="2"/>
      <c r="E95" s="2"/>
      <c r="F95" s="2"/>
      <c r="G95" s="2"/>
      <c r="H95" s="2"/>
      <c r="I95" s="2"/>
      <c r="J95" s="2"/>
      <c r="K95" s="2"/>
      <c r="L95" s="2"/>
      <c r="M95" s="2"/>
      <c r="N95" s="2"/>
      <c r="O95" s="2"/>
      <c r="P95" s="2"/>
    </row>
    <row r="96" ht="15.75" customHeight="1">
      <c r="A96" s="18" t="s">
        <v>711</v>
      </c>
      <c r="B96" s="18" t="s">
        <v>712</v>
      </c>
      <c r="C96" s="2"/>
      <c r="D96" s="2"/>
      <c r="E96" s="2"/>
      <c r="F96" s="2"/>
      <c r="G96" s="2"/>
      <c r="H96" s="2"/>
      <c r="I96" s="2"/>
      <c r="J96" s="2"/>
      <c r="K96" s="2"/>
      <c r="L96" s="2"/>
      <c r="M96" s="2"/>
      <c r="N96" s="2"/>
      <c r="O96" s="2"/>
      <c r="P96" s="2"/>
    </row>
    <row r="97" ht="15.75" customHeight="1">
      <c r="A97" s="18" t="s">
        <v>713</v>
      </c>
      <c r="B97" s="18" t="s">
        <v>714</v>
      </c>
      <c r="C97" s="2"/>
      <c r="D97" s="2"/>
      <c r="E97" s="2"/>
      <c r="F97" s="2"/>
      <c r="G97" s="2"/>
      <c r="H97" s="2"/>
      <c r="I97" s="2"/>
      <c r="J97" s="2"/>
      <c r="K97" s="2"/>
      <c r="L97" s="2"/>
      <c r="M97" s="2"/>
      <c r="N97" s="2"/>
      <c r="O97" s="2"/>
      <c r="P97" s="2"/>
    </row>
    <row r="98" ht="15.75" customHeight="1">
      <c r="A98" s="18" t="s">
        <v>715</v>
      </c>
      <c r="B98" s="18" t="s">
        <v>716</v>
      </c>
      <c r="C98" s="2"/>
      <c r="D98" s="2"/>
      <c r="E98" s="2"/>
      <c r="F98" s="2"/>
      <c r="G98" s="2"/>
      <c r="H98" s="2"/>
      <c r="I98" s="2"/>
      <c r="J98" s="2"/>
      <c r="K98" s="2"/>
      <c r="L98" s="2"/>
      <c r="M98" s="2"/>
      <c r="N98" s="2"/>
      <c r="O98" s="2"/>
      <c r="P98" s="2"/>
    </row>
    <row r="99" ht="15.75" customHeight="1">
      <c r="A99" s="18" t="s">
        <v>717</v>
      </c>
      <c r="B99" s="18" t="s">
        <v>718</v>
      </c>
      <c r="C99" s="2"/>
      <c r="D99" s="2"/>
      <c r="E99" s="2"/>
      <c r="F99" s="2"/>
      <c r="G99" s="2"/>
      <c r="H99" s="2"/>
      <c r="I99" s="2"/>
      <c r="J99" s="2"/>
      <c r="K99" s="2"/>
      <c r="L99" s="2"/>
      <c r="M99" s="2"/>
      <c r="N99" s="2"/>
      <c r="O99" s="2"/>
      <c r="P99" s="2"/>
    </row>
    <row r="100" ht="15.75" customHeight="1">
      <c r="A100" s="18" t="s">
        <v>719</v>
      </c>
      <c r="B100" s="18" t="s">
        <v>720</v>
      </c>
      <c r="C100" s="2"/>
      <c r="D100" s="2"/>
      <c r="E100" s="2"/>
      <c r="F100" s="2"/>
      <c r="G100" s="2"/>
      <c r="H100" s="2"/>
      <c r="I100" s="2"/>
      <c r="J100" s="2"/>
      <c r="K100" s="2"/>
      <c r="L100" s="2"/>
      <c r="M100" s="2"/>
      <c r="N100" s="2"/>
      <c r="O100" s="2"/>
      <c r="P100" s="2"/>
    </row>
    <row r="101" ht="15.75" customHeight="1">
      <c r="A101" s="18" t="s">
        <v>721</v>
      </c>
      <c r="B101" s="18" t="s">
        <v>722</v>
      </c>
      <c r="C101" s="2"/>
      <c r="D101" s="2"/>
      <c r="E101" s="2"/>
      <c r="F101" s="2"/>
      <c r="G101" s="2"/>
      <c r="H101" s="2"/>
      <c r="I101" s="2"/>
      <c r="J101" s="2"/>
      <c r="K101" s="2"/>
      <c r="L101" s="2"/>
      <c r="M101" s="2"/>
      <c r="N101" s="2"/>
      <c r="O101" s="2"/>
      <c r="P101" s="2"/>
    </row>
    <row r="102" ht="15.75" customHeight="1">
      <c r="A102" s="18" t="s">
        <v>723</v>
      </c>
      <c r="B102" s="18" t="s">
        <v>212</v>
      </c>
      <c r="C102" s="2"/>
      <c r="D102" s="2"/>
      <c r="E102" s="2"/>
      <c r="F102" s="2"/>
      <c r="G102" s="2"/>
      <c r="H102" s="2"/>
      <c r="I102" s="2"/>
      <c r="J102" s="2"/>
      <c r="K102" s="2"/>
      <c r="L102" s="2"/>
      <c r="M102" s="2"/>
      <c r="N102" s="2"/>
      <c r="O102" s="2"/>
      <c r="P102" s="2"/>
    </row>
    <row r="103" ht="15.75" customHeight="1">
      <c r="A103" s="18" t="s">
        <v>724</v>
      </c>
      <c r="B103" s="18" t="s">
        <v>316</v>
      </c>
      <c r="C103" s="2"/>
      <c r="D103" s="2"/>
      <c r="E103" s="2"/>
      <c r="F103" s="2"/>
      <c r="G103" s="2"/>
      <c r="H103" s="2"/>
      <c r="I103" s="2"/>
      <c r="J103" s="2"/>
      <c r="K103" s="2"/>
      <c r="L103" s="2"/>
      <c r="M103" s="2"/>
      <c r="N103" s="2"/>
      <c r="O103" s="2"/>
      <c r="P103" s="2"/>
    </row>
    <row r="104" ht="15.75" customHeight="1">
      <c r="A104" s="18" t="s">
        <v>725</v>
      </c>
      <c r="B104" s="18" t="s">
        <v>636</v>
      </c>
      <c r="C104" s="2"/>
      <c r="D104" s="2"/>
      <c r="E104" s="2"/>
      <c r="F104" s="2"/>
      <c r="G104" s="2"/>
      <c r="H104" s="2"/>
      <c r="I104" s="2"/>
      <c r="J104" s="2"/>
      <c r="K104" s="2"/>
      <c r="L104" s="2"/>
      <c r="M104" s="2"/>
      <c r="N104" s="2"/>
      <c r="O104" s="2"/>
      <c r="P104" s="2"/>
    </row>
    <row r="105" ht="15.75" customHeight="1">
      <c r="A105" s="18" t="s">
        <v>726</v>
      </c>
      <c r="B105" s="18" t="s">
        <v>727</v>
      </c>
      <c r="C105" s="2"/>
      <c r="D105" s="2"/>
      <c r="E105" s="2"/>
      <c r="F105" s="2"/>
      <c r="G105" s="2"/>
      <c r="H105" s="2"/>
      <c r="I105" s="2"/>
      <c r="J105" s="2"/>
      <c r="K105" s="2"/>
      <c r="L105" s="2"/>
      <c r="M105" s="2"/>
      <c r="N105" s="2"/>
      <c r="O105" s="2"/>
      <c r="P105" s="2"/>
    </row>
    <row r="106" ht="15.75" customHeight="1">
      <c r="A106" s="18" t="s">
        <v>728</v>
      </c>
      <c r="B106" s="18" t="s">
        <v>729</v>
      </c>
      <c r="C106" s="2"/>
      <c r="D106" s="2"/>
      <c r="E106" s="2"/>
      <c r="F106" s="2"/>
      <c r="G106" s="2"/>
      <c r="H106" s="2"/>
      <c r="I106" s="2"/>
      <c r="J106" s="2"/>
      <c r="K106" s="2"/>
      <c r="L106" s="2"/>
      <c r="M106" s="2"/>
      <c r="N106" s="2"/>
      <c r="O106" s="2"/>
      <c r="P106" s="2"/>
    </row>
    <row r="107" ht="15.75" customHeight="1">
      <c r="A107" s="18" t="s">
        <v>730</v>
      </c>
      <c r="B107" s="18" t="s">
        <v>636</v>
      </c>
      <c r="C107" s="2"/>
      <c r="D107" s="2"/>
      <c r="E107" s="2"/>
      <c r="F107" s="2"/>
      <c r="G107" s="2"/>
      <c r="H107" s="2"/>
      <c r="I107" s="2"/>
      <c r="J107" s="2"/>
      <c r="K107" s="2"/>
      <c r="L107" s="2"/>
      <c r="M107" s="2"/>
      <c r="N107" s="2"/>
      <c r="O107" s="2"/>
      <c r="P107" s="2"/>
    </row>
    <row r="108" ht="15.75" customHeight="1">
      <c r="A108" s="18" t="s">
        <v>731</v>
      </c>
      <c r="B108" s="18" t="s">
        <v>732</v>
      </c>
      <c r="C108" s="2"/>
      <c r="D108" s="2"/>
      <c r="E108" s="2"/>
      <c r="F108" s="2"/>
      <c r="G108" s="2"/>
      <c r="H108" s="2"/>
      <c r="I108" s="2"/>
      <c r="J108" s="2"/>
      <c r="K108" s="2"/>
      <c r="L108" s="2"/>
      <c r="M108" s="2"/>
      <c r="N108" s="2"/>
      <c r="O108" s="2"/>
      <c r="P108" s="2"/>
    </row>
    <row r="109" ht="15.75" customHeight="1">
      <c r="A109" s="18" t="s">
        <v>733</v>
      </c>
      <c r="B109" s="18" t="s">
        <v>646</v>
      </c>
      <c r="C109" s="2"/>
      <c r="D109" s="2"/>
      <c r="E109" s="2"/>
      <c r="F109" s="2"/>
      <c r="G109" s="2"/>
      <c r="H109" s="2"/>
      <c r="I109" s="2"/>
      <c r="J109" s="2"/>
      <c r="K109" s="2"/>
      <c r="L109" s="2"/>
      <c r="M109" s="2"/>
      <c r="N109" s="2"/>
      <c r="O109" s="2"/>
      <c r="P109" s="2"/>
    </row>
    <row r="110" ht="15.75" customHeight="1">
      <c r="A110" s="18" t="s">
        <v>481</v>
      </c>
      <c r="B110" s="18" t="s">
        <v>734</v>
      </c>
      <c r="C110" s="2"/>
      <c r="D110" s="2"/>
      <c r="E110" s="2"/>
      <c r="F110" s="2"/>
      <c r="G110" s="2"/>
      <c r="H110" s="2"/>
      <c r="I110" s="2"/>
      <c r="J110" s="2"/>
      <c r="K110" s="2"/>
      <c r="L110" s="2"/>
      <c r="M110" s="2"/>
      <c r="N110" s="2"/>
      <c r="O110" s="2"/>
      <c r="P110" s="2"/>
    </row>
    <row r="111" ht="15.75" customHeight="1">
      <c r="A111" s="18" t="s">
        <v>735</v>
      </c>
      <c r="B111" s="18" t="s">
        <v>736</v>
      </c>
      <c r="C111" s="2"/>
      <c r="D111" s="2"/>
      <c r="E111" s="2"/>
      <c r="F111" s="2"/>
      <c r="G111" s="2"/>
      <c r="H111" s="2"/>
      <c r="I111" s="2"/>
      <c r="J111" s="2"/>
      <c r="K111" s="2"/>
      <c r="L111" s="2"/>
      <c r="M111" s="2"/>
      <c r="N111" s="2"/>
      <c r="O111" s="2"/>
      <c r="P111" s="2"/>
    </row>
    <row r="112" ht="15.75" customHeight="1">
      <c r="A112" s="18" t="s">
        <v>735</v>
      </c>
      <c r="B112" s="18" t="s">
        <v>737</v>
      </c>
      <c r="C112" s="2"/>
      <c r="D112" s="2"/>
      <c r="E112" s="2"/>
      <c r="F112" s="2"/>
      <c r="G112" s="2"/>
      <c r="H112" s="2"/>
      <c r="I112" s="2"/>
      <c r="J112" s="2"/>
      <c r="K112" s="2"/>
      <c r="L112" s="2"/>
      <c r="M112" s="2"/>
      <c r="N112" s="2"/>
      <c r="O112" s="2"/>
      <c r="P112" s="2"/>
    </row>
    <row r="113" ht="15.75" customHeight="1">
      <c r="A113" s="18" t="s">
        <v>540</v>
      </c>
      <c r="B113" s="18" t="s">
        <v>174</v>
      </c>
      <c r="C113" s="2"/>
      <c r="D113" s="2"/>
      <c r="E113" s="2"/>
      <c r="F113" s="2"/>
      <c r="G113" s="2"/>
      <c r="H113" s="2"/>
      <c r="I113" s="2"/>
      <c r="J113" s="2"/>
      <c r="K113" s="2"/>
      <c r="L113" s="2"/>
      <c r="M113" s="2"/>
      <c r="N113" s="2"/>
      <c r="O113" s="2"/>
      <c r="P113" s="2"/>
    </row>
    <row r="114" ht="15.75" customHeight="1">
      <c r="A114" s="18" t="s">
        <v>738</v>
      </c>
      <c r="B114" s="18" t="s">
        <v>739</v>
      </c>
      <c r="C114" s="2"/>
      <c r="D114" s="2"/>
      <c r="E114" s="2"/>
      <c r="F114" s="2"/>
      <c r="G114" s="2"/>
      <c r="H114" s="2"/>
      <c r="I114" s="2"/>
      <c r="J114" s="2"/>
      <c r="K114" s="2"/>
      <c r="L114" s="2"/>
      <c r="M114" s="2"/>
      <c r="N114" s="2"/>
      <c r="O114" s="2"/>
      <c r="P114" s="2"/>
    </row>
    <row r="115" ht="15.75" customHeight="1">
      <c r="A115" s="18" t="s">
        <v>740</v>
      </c>
      <c r="B115" s="18" t="s">
        <v>741</v>
      </c>
      <c r="C115" s="2"/>
      <c r="D115" s="2"/>
      <c r="E115" s="2"/>
      <c r="F115" s="2"/>
      <c r="G115" s="2"/>
      <c r="H115" s="2"/>
      <c r="I115" s="2"/>
      <c r="J115" s="2"/>
      <c r="K115" s="2"/>
      <c r="L115" s="2"/>
      <c r="M115" s="2"/>
      <c r="N115" s="2"/>
      <c r="O115" s="2"/>
      <c r="P115" s="2"/>
    </row>
    <row r="116" ht="15.75" customHeight="1">
      <c r="A116" s="18" t="s">
        <v>742</v>
      </c>
      <c r="B116" s="18" t="s">
        <v>743</v>
      </c>
      <c r="C116" s="2"/>
      <c r="D116" s="2"/>
      <c r="E116" s="2"/>
      <c r="F116" s="2"/>
      <c r="G116" s="2"/>
      <c r="H116" s="2"/>
      <c r="I116" s="2"/>
      <c r="J116" s="2"/>
      <c r="K116" s="2"/>
      <c r="L116" s="2"/>
      <c r="M116" s="2"/>
      <c r="N116" s="2"/>
      <c r="O116" s="2"/>
      <c r="P116" s="2"/>
    </row>
    <row r="117" ht="15.75" customHeight="1">
      <c r="A117" s="18" t="s">
        <v>385</v>
      </c>
      <c r="B117" s="18" t="s">
        <v>641</v>
      </c>
      <c r="C117" s="2"/>
      <c r="D117" s="2"/>
      <c r="E117" s="2"/>
      <c r="F117" s="2"/>
      <c r="G117" s="2"/>
      <c r="H117" s="2"/>
      <c r="I117" s="2"/>
      <c r="J117" s="2"/>
      <c r="K117" s="2"/>
      <c r="L117" s="2"/>
      <c r="M117" s="2"/>
      <c r="N117" s="2"/>
      <c r="O117" s="2"/>
      <c r="P117" s="2"/>
    </row>
    <row r="118" ht="15.75" customHeight="1">
      <c r="A118" s="18" t="s">
        <v>744</v>
      </c>
      <c r="B118" s="18" t="s">
        <v>745</v>
      </c>
      <c r="C118" s="2"/>
      <c r="D118" s="2"/>
      <c r="E118" s="2"/>
      <c r="F118" s="2"/>
      <c r="G118" s="2"/>
      <c r="H118" s="2"/>
      <c r="I118" s="2"/>
      <c r="J118" s="2"/>
      <c r="K118" s="2"/>
      <c r="L118" s="2"/>
      <c r="M118" s="2"/>
      <c r="N118" s="2"/>
      <c r="O118" s="2"/>
      <c r="P118" s="2"/>
    </row>
    <row r="119" ht="15.75" customHeight="1">
      <c r="A119" s="18" t="s">
        <v>746</v>
      </c>
      <c r="B119" s="18" t="s">
        <v>168</v>
      </c>
      <c r="C119" s="2"/>
      <c r="D119" s="2"/>
      <c r="E119" s="2"/>
      <c r="F119" s="2"/>
      <c r="G119" s="2"/>
      <c r="H119" s="2"/>
      <c r="I119" s="2"/>
      <c r="J119" s="2"/>
      <c r="K119" s="2"/>
      <c r="L119" s="2"/>
      <c r="M119" s="2"/>
      <c r="N119" s="2"/>
      <c r="O119" s="2"/>
      <c r="P119" s="2"/>
    </row>
    <row r="120" ht="15.75" customHeight="1">
      <c r="A120" s="18" t="s">
        <v>747</v>
      </c>
      <c r="B120" s="18" t="s">
        <v>748</v>
      </c>
      <c r="C120" s="2"/>
      <c r="D120" s="2"/>
      <c r="E120" s="2"/>
      <c r="F120" s="2"/>
      <c r="G120" s="2"/>
      <c r="H120" s="2"/>
      <c r="I120" s="2"/>
      <c r="J120" s="2"/>
      <c r="K120" s="2"/>
      <c r="L120" s="2"/>
      <c r="M120" s="2"/>
      <c r="N120" s="2"/>
      <c r="O120" s="2"/>
      <c r="P120" s="2"/>
    </row>
    <row r="121" ht="15.75" customHeight="1">
      <c r="A121" s="18" t="s">
        <v>388</v>
      </c>
      <c r="B121" s="18" t="s">
        <v>641</v>
      </c>
      <c r="C121" s="2"/>
      <c r="D121" s="2"/>
      <c r="E121" s="2"/>
      <c r="F121" s="2"/>
      <c r="G121" s="2"/>
      <c r="H121" s="2"/>
      <c r="I121" s="2"/>
      <c r="J121" s="2"/>
      <c r="K121" s="2"/>
      <c r="L121" s="2"/>
      <c r="M121" s="2"/>
      <c r="N121" s="2"/>
      <c r="O121" s="2"/>
      <c r="P121" s="2"/>
    </row>
    <row r="122" ht="15.75" customHeight="1">
      <c r="A122" s="18" t="s">
        <v>749</v>
      </c>
      <c r="B122" s="18" t="s">
        <v>750</v>
      </c>
      <c r="C122" s="2"/>
      <c r="D122" s="2"/>
      <c r="E122" s="2"/>
      <c r="F122" s="2"/>
      <c r="G122" s="2"/>
      <c r="H122" s="2"/>
      <c r="I122" s="2"/>
      <c r="J122" s="2"/>
      <c r="K122" s="2"/>
      <c r="L122" s="2"/>
      <c r="M122" s="2"/>
      <c r="N122" s="2"/>
      <c r="O122" s="2"/>
      <c r="P122" s="2"/>
    </row>
    <row r="123" ht="15.75" customHeight="1">
      <c r="A123" s="18" t="s">
        <v>751</v>
      </c>
      <c r="B123" s="18" t="s">
        <v>737</v>
      </c>
      <c r="C123" s="2"/>
      <c r="D123" s="2"/>
      <c r="E123" s="2"/>
      <c r="F123" s="2"/>
      <c r="G123" s="2"/>
      <c r="H123" s="2"/>
      <c r="I123" s="2"/>
      <c r="J123" s="2"/>
      <c r="K123" s="2"/>
      <c r="L123" s="2"/>
      <c r="M123" s="2"/>
      <c r="N123" s="2"/>
      <c r="O123" s="2"/>
      <c r="P123" s="2"/>
    </row>
    <row r="124" ht="15.75" customHeight="1">
      <c r="A124" s="18" t="s">
        <v>752</v>
      </c>
      <c r="B124" s="18" t="s">
        <v>215</v>
      </c>
      <c r="C124" s="2"/>
      <c r="D124" s="2"/>
      <c r="E124" s="2"/>
      <c r="F124" s="2"/>
      <c r="G124" s="2"/>
      <c r="H124" s="2"/>
      <c r="I124" s="2"/>
      <c r="J124" s="2"/>
      <c r="K124" s="2"/>
      <c r="L124" s="2"/>
      <c r="M124" s="2"/>
      <c r="N124" s="2"/>
      <c r="O124" s="2"/>
      <c r="P124" s="2"/>
    </row>
    <row r="125" ht="15.75" customHeight="1">
      <c r="A125" s="18" t="s">
        <v>753</v>
      </c>
      <c r="B125" s="18" t="s">
        <v>675</v>
      </c>
      <c r="C125" s="2"/>
      <c r="D125" s="2"/>
      <c r="E125" s="2"/>
      <c r="F125" s="2"/>
      <c r="G125" s="2"/>
      <c r="H125" s="2"/>
      <c r="I125" s="2"/>
      <c r="J125" s="2"/>
      <c r="K125" s="2"/>
      <c r="L125" s="2"/>
      <c r="M125" s="2"/>
      <c r="N125" s="2"/>
      <c r="O125" s="2"/>
      <c r="P125" s="2"/>
    </row>
    <row r="126" ht="15.75" customHeight="1">
      <c r="A126" s="18" t="s">
        <v>754</v>
      </c>
      <c r="B126" s="18" t="s">
        <v>755</v>
      </c>
      <c r="C126" s="2"/>
      <c r="D126" s="2"/>
      <c r="E126" s="2"/>
      <c r="F126" s="2"/>
      <c r="G126" s="2"/>
      <c r="H126" s="2"/>
      <c r="I126" s="2"/>
      <c r="J126" s="2"/>
      <c r="K126" s="2"/>
      <c r="L126" s="2"/>
      <c r="M126" s="2"/>
      <c r="N126" s="2"/>
      <c r="O126" s="2"/>
      <c r="P126" s="2"/>
    </row>
    <row r="127" ht="15.75" customHeight="1">
      <c r="A127" s="18" t="s">
        <v>756</v>
      </c>
      <c r="B127" s="18" t="s">
        <v>158</v>
      </c>
      <c r="C127" s="2"/>
      <c r="D127" s="2"/>
      <c r="E127" s="2"/>
      <c r="F127" s="2"/>
      <c r="G127" s="2"/>
      <c r="H127" s="2"/>
      <c r="I127" s="2"/>
      <c r="J127" s="2"/>
      <c r="K127" s="2"/>
      <c r="L127" s="2"/>
      <c r="M127" s="2"/>
      <c r="N127" s="2"/>
      <c r="O127" s="2"/>
      <c r="P127" s="2"/>
    </row>
    <row r="128" ht="15.75" customHeight="1">
      <c r="A128" s="18" t="s">
        <v>757</v>
      </c>
      <c r="B128" s="18" t="s">
        <v>304</v>
      </c>
      <c r="C128" s="2"/>
      <c r="D128" s="2"/>
      <c r="E128" s="2"/>
      <c r="F128" s="2"/>
      <c r="G128" s="2"/>
      <c r="H128" s="2"/>
      <c r="I128" s="2"/>
      <c r="J128" s="2"/>
      <c r="K128" s="2"/>
      <c r="L128" s="2"/>
      <c r="M128" s="2"/>
      <c r="N128" s="2"/>
      <c r="O128" s="2"/>
      <c r="P128" s="2"/>
    </row>
    <row r="129" ht="15.75" customHeight="1">
      <c r="A129" s="18" t="s">
        <v>758</v>
      </c>
      <c r="B129" s="18" t="s">
        <v>163</v>
      </c>
      <c r="C129" s="2"/>
      <c r="D129" s="2"/>
      <c r="E129" s="2"/>
      <c r="F129" s="2"/>
      <c r="G129" s="2"/>
      <c r="H129" s="2"/>
      <c r="I129" s="2"/>
      <c r="J129" s="2"/>
      <c r="K129" s="2"/>
      <c r="L129" s="2"/>
      <c r="M129" s="2"/>
      <c r="N129" s="2"/>
      <c r="O129" s="2"/>
      <c r="P129" s="2"/>
    </row>
    <row r="130" ht="15.75" customHeight="1">
      <c r="A130" s="18" t="s">
        <v>759</v>
      </c>
      <c r="B130" s="18" t="s">
        <v>760</v>
      </c>
      <c r="C130" s="2"/>
      <c r="D130" s="2"/>
      <c r="E130" s="2"/>
      <c r="F130" s="2"/>
      <c r="G130" s="2"/>
      <c r="H130" s="2"/>
      <c r="I130" s="2"/>
      <c r="J130" s="2"/>
      <c r="K130" s="2"/>
      <c r="L130" s="2"/>
      <c r="M130" s="2"/>
      <c r="N130" s="2"/>
      <c r="O130" s="2"/>
      <c r="P130" s="2"/>
    </row>
    <row r="131" ht="15.75" customHeight="1">
      <c r="A131" s="18" t="s">
        <v>761</v>
      </c>
      <c r="B131" s="18" t="s">
        <v>762</v>
      </c>
      <c r="C131" s="2"/>
      <c r="D131" s="2"/>
      <c r="E131" s="2"/>
      <c r="F131" s="2"/>
      <c r="G131" s="2"/>
      <c r="H131" s="2"/>
      <c r="I131" s="2"/>
      <c r="J131" s="2"/>
      <c r="K131" s="2"/>
      <c r="L131" s="2"/>
      <c r="M131" s="2"/>
      <c r="N131" s="2"/>
      <c r="O131" s="2"/>
      <c r="P131" s="2"/>
    </row>
    <row r="132" ht="15.75" customHeight="1">
      <c r="A132" s="18" t="s">
        <v>763</v>
      </c>
      <c r="B132" s="18" t="s">
        <v>764</v>
      </c>
      <c r="C132" s="2"/>
      <c r="D132" s="2"/>
      <c r="E132" s="2"/>
      <c r="F132" s="2"/>
      <c r="G132" s="2"/>
      <c r="H132" s="2"/>
      <c r="I132" s="2"/>
      <c r="J132" s="2"/>
      <c r="K132" s="2"/>
      <c r="L132" s="2"/>
      <c r="M132" s="2"/>
      <c r="N132" s="2"/>
      <c r="O132" s="2"/>
      <c r="P132" s="2"/>
    </row>
    <row r="133" ht="15.75" customHeight="1">
      <c r="A133" s="18" t="s">
        <v>765</v>
      </c>
      <c r="B133" s="18" t="s">
        <v>766</v>
      </c>
      <c r="C133" s="2"/>
      <c r="D133" s="2"/>
      <c r="E133" s="2"/>
      <c r="F133" s="2"/>
      <c r="G133" s="2"/>
      <c r="H133" s="2"/>
      <c r="I133" s="2"/>
      <c r="J133" s="2"/>
      <c r="K133" s="2"/>
      <c r="L133" s="2"/>
      <c r="M133" s="2"/>
      <c r="N133" s="2"/>
      <c r="O133" s="2"/>
      <c r="P133" s="2"/>
    </row>
    <row r="134" ht="15.75" customHeight="1">
      <c r="A134" s="18" t="s">
        <v>767</v>
      </c>
      <c r="B134" s="18" t="s">
        <v>768</v>
      </c>
      <c r="C134" s="2"/>
      <c r="D134" s="2"/>
      <c r="E134" s="2"/>
      <c r="F134" s="2"/>
      <c r="G134" s="2"/>
      <c r="H134" s="2"/>
      <c r="I134" s="2"/>
      <c r="J134" s="2"/>
      <c r="K134" s="2"/>
      <c r="L134" s="2"/>
      <c r="M134" s="2"/>
      <c r="N134" s="2"/>
      <c r="O134" s="2"/>
      <c r="P134" s="2"/>
    </row>
    <row r="135" ht="15.75" customHeight="1">
      <c r="A135" s="18" t="s">
        <v>769</v>
      </c>
      <c r="B135" s="18" t="s">
        <v>762</v>
      </c>
      <c r="C135" s="2"/>
      <c r="D135" s="2"/>
      <c r="E135" s="2"/>
      <c r="F135" s="2"/>
      <c r="G135" s="2"/>
      <c r="H135" s="2"/>
      <c r="I135" s="2"/>
      <c r="J135" s="2"/>
      <c r="K135" s="2"/>
      <c r="L135" s="2"/>
      <c r="M135" s="2"/>
      <c r="N135" s="2"/>
      <c r="O135" s="2"/>
      <c r="P135" s="2"/>
    </row>
    <row r="136" ht="15.75" customHeight="1">
      <c r="A136" s="18" t="s">
        <v>770</v>
      </c>
      <c r="B136" s="18" t="s">
        <v>347</v>
      </c>
      <c r="C136" s="2"/>
      <c r="D136" s="2"/>
      <c r="E136" s="2"/>
      <c r="F136" s="2"/>
      <c r="G136" s="2"/>
      <c r="H136" s="2"/>
      <c r="I136" s="2"/>
      <c r="J136" s="2"/>
      <c r="K136" s="2"/>
      <c r="L136" s="2"/>
      <c r="M136" s="2"/>
      <c r="N136" s="2"/>
      <c r="O136" s="2"/>
      <c r="P136" s="2"/>
    </row>
    <row r="137" ht="15.75" customHeight="1">
      <c r="A137" s="18" t="s">
        <v>771</v>
      </c>
      <c r="B137" s="18" t="s">
        <v>772</v>
      </c>
      <c r="C137" s="2"/>
      <c r="D137" s="2"/>
      <c r="E137" s="2"/>
      <c r="F137" s="2"/>
      <c r="G137" s="2"/>
      <c r="H137" s="2"/>
      <c r="I137" s="2"/>
      <c r="J137" s="2"/>
      <c r="K137" s="2"/>
      <c r="L137" s="2"/>
      <c r="M137" s="2"/>
      <c r="N137" s="2"/>
      <c r="O137" s="2"/>
      <c r="P137" s="2"/>
    </row>
    <row r="138" ht="15.75" customHeight="1">
      <c r="A138" s="18" t="s">
        <v>452</v>
      </c>
      <c r="B138" s="18" t="s">
        <v>773</v>
      </c>
      <c r="C138" s="2"/>
      <c r="D138" s="2"/>
      <c r="E138" s="2"/>
      <c r="F138" s="2"/>
      <c r="G138" s="2"/>
      <c r="H138" s="2"/>
      <c r="I138" s="2"/>
      <c r="J138" s="2"/>
      <c r="K138" s="2"/>
      <c r="L138" s="2"/>
      <c r="M138" s="2"/>
      <c r="N138" s="2"/>
      <c r="O138" s="2"/>
      <c r="P138" s="2"/>
    </row>
    <row r="139" ht="15.75" customHeight="1">
      <c r="A139" s="18" t="s">
        <v>774</v>
      </c>
      <c r="B139" s="18" t="s">
        <v>775</v>
      </c>
      <c r="C139" s="2"/>
      <c r="D139" s="2"/>
      <c r="E139" s="2"/>
      <c r="F139" s="2"/>
      <c r="G139" s="2"/>
      <c r="H139" s="2"/>
      <c r="I139" s="2"/>
      <c r="J139" s="2"/>
      <c r="K139" s="2"/>
      <c r="L139" s="2"/>
      <c r="M139" s="2"/>
      <c r="N139" s="2"/>
      <c r="O139" s="2"/>
      <c r="P139" s="2"/>
    </row>
    <row r="140" ht="15.75" customHeight="1">
      <c r="A140" s="18" t="s">
        <v>776</v>
      </c>
      <c r="B140" s="18" t="s">
        <v>777</v>
      </c>
      <c r="C140" s="2"/>
      <c r="D140" s="2"/>
      <c r="E140" s="2"/>
      <c r="F140" s="2"/>
      <c r="G140" s="2"/>
      <c r="H140" s="2"/>
      <c r="I140" s="2"/>
      <c r="J140" s="2"/>
      <c r="K140" s="2"/>
      <c r="L140" s="2"/>
      <c r="M140" s="2"/>
      <c r="N140" s="2"/>
      <c r="O140" s="2"/>
      <c r="P140" s="2"/>
    </row>
    <row r="141" ht="15.75" customHeight="1">
      <c r="A141" s="18" t="s">
        <v>778</v>
      </c>
      <c r="B141" s="18" t="s">
        <v>779</v>
      </c>
      <c r="C141" s="2"/>
      <c r="D141" s="2"/>
      <c r="E141" s="2"/>
      <c r="F141" s="2"/>
      <c r="G141" s="2"/>
      <c r="H141" s="2"/>
      <c r="I141" s="2"/>
      <c r="J141" s="2"/>
      <c r="K141" s="2"/>
      <c r="L141" s="2"/>
      <c r="M141" s="2"/>
      <c r="N141" s="2"/>
      <c r="O141" s="2"/>
      <c r="P141" s="2"/>
    </row>
    <row r="142" ht="15.75" customHeight="1">
      <c r="A142" s="18" t="s">
        <v>780</v>
      </c>
      <c r="B142" s="18" t="s">
        <v>781</v>
      </c>
      <c r="C142" s="2"/>
      <c r="D142" s="2"/>
      <c r="E142" s="2"/>
      <c r="F142" s="2"/>
      <c r="G142" s="2"/>
      <c r="H142" s="2"/>
      <c r="I142" s="2"/>
      <c r="J142" s="2"/>
      <c r="K142" s="2"/>
      <c r="L142" s="2"/>
      <c r="M142" s="2"/>
      <c r="N142" s="2"/>
      <c r="O142" s="2"/>
      <c r="P142" s="2"/>
    </row>
    <row r="143" ht="15.75" customHeight="1">
      <c r="A143" s="18" t="s">
        <v>782</v>
      </c>
      <c r="B143" s="18" t="s">
        <v>198</v>
      </c>
      <c r="C143" s="2"/>
      <c r="D143" s="2"/>
      <c r="E143" s="2"/>
      <c r="F143" s="2"/>
      <c r="G143" s="2"/>
      <c r="H143" s="2"/>
      <c r="I143" s="2"/>
      <c r="J143" s="2"/>
      <c r="K143" s="2"/>
      <c r="L143" s="2"/>
      <c r="M143" s="2"/>
      <c r="N143" s="2"/>
      <c r="O143" s="2"/>
      <c r="P143" s="2"/>
    </row>
    <row r="144" ht="15.75" customHeight="1">
      <c r="A144" s="18" t="s">
        <v>783</v>
      </c>
      <c r="B144" s="18" t="s">
        <v>784</v>
      </c>
      <c r="C144" s="2"/>
      <c r="D144" s="2"/>
      <c r="E144" s="2"/>
      <c r="F144" s="2"/>
      <c r="G144" s="2"/>
      <c r="H144" s="2"/>
      <c r="I144" s="2"/>
      <c r="J144" s="2"/>
      <c r="K144" s="2"/>
      <c r="L144" s="2"/>
      <c r="M144" s="2"/>
      <c r="N144" s="2"/>
      <c r="O144" s="2"/>
      <c r="P144" s="2"/>
    </row>
    <row r="145" ht="15.75" customHeight="1">
      <c r="A145" s="18" t="s">
        <v>785</v>
      </c>
      <c r="B145" s="18" t="s">
        <v>40</v>
      </c>
      <c r="C145" s="2"/>
      <c r="D145" s="2"/>
      <c r="E145" s="2"/>
      <c r="F145" s="2"/>
      <c r="G145" s="2"/>
      <c r="H145" s="2"/>
      <c r="I145" s="2"/>
      <c r="J145" s="2"/>
      <c r="K145" s="2"/>
      <c r="L145" s="2"/>
      <c r="M145" s="2"/>
      <c r="N145" s="2"/>
      <c r="O145" s="2"/>
      <c r="P145" s="2"/>
    </row>
    <row r="146" ht="15.75" customHeight="1">
      <c r="A146" s="18" t="s">
        <v>786</v>
      </c>
      <c r="B146" s="18" t="s">
        <v>787</v>
      </c>
      <c r="C146" s="2"/>
      <c r="D146" s="2"/>
      <c r="E146" s="2"/>
      <c r="F146" s="2"/>
      <c r="G146" s="2"/>
      <c r="H146" s="2"/>
      <c r="I146" s="2"/>
      <c r="J146" s="2"/>
      <c r="K146" s="2"/>
      <c r="L146" s="2"/>
      <c r="M146" s="2"/>
      <c r="N146" s="2"/>
      <c r="O146" s="2"/>
      <c r="P146" s="2"/>
    </row>
    <row r="147" ht="15.75" customHeight="1">
      <c r="A147" s="18" t="s">
        <v>788</v>
      </c>
      <c r="B147" s="18" t="s">
        <v>789</v>
      </c>
      <c r="C147" s="2"/>
      <c r="D147" s="2"/>
      <c r="E147" s="2"/>
      <c r="F147" s="2"/>
      <c r="G147" s="2"/>
      <c r="H147" s="2"/>
      <c r="I147" s="2"/>
      <c r="J147" s="2"/>
      <c r="K147" s="2"/>
      <c r="L147" s="2"/>
      <c r="M147" s="2"/>
      <c r="N147" s="2"/>
      <c r="O147" s="2"/>
      <c r="P147" s="2"/>
    </row>
    <row r="148" ht="15.75" customHeight="1">
      <c r="A148" s="18" t="s">
        <v>790</v>
      </c>
      <c r="B148" s="18" t="s">
        <v>789</v>
      </c>
      <c r="C148" s="2"/>
      <c r="D148" s="2"/>
      <c r="E148" s="2"/>
      <c r="F148" s="2"/>
      <c r="G148" s="2"/>
      <c r="H148" s="2"/>
      <c r="I148" s="2"/>
      <c r="J148" s="2"/>
      <c r="K148" s="2"/>
      <c r="L148" s="2"/>
      <c r="M148" s="2"/>
      <c r="N148" s="2"/>
      <c r="O148" s="2"/>
      <c r="P148" s="2"/>
    </row>
    <row r="149" ht="15.75" customHeight="1">
      <c r="A149" s="18" t="s">
        <v>791</v>
      </c>
      <c r="B149" s="18" t="s">
        <v>792</v>
      </c>
      <c r="C149" s="2"/>
      <c r="D149" s="2"/>
      <c r="E149" s="2"/>
      <c r="F149" s="2"/>
      <c r="G149" s="2"/>
      <c r="H149" s="2"/>
      <c r="I149" s="2"/>
      <c r="J149" s="2"/>
      <c r="K149" s="2"/>
      <c r="L149" s="2"/>
      <c r="M149" s="2"/>
      <c r="N149" s="2"/>
      <c r="O149" s="2"/>
      <c r="P149" s="2"/>
    </row>
    <row r="150" ht="15.75" customHeight="1">
      <c r="A150" s="18" t="s">
        <v>793</v>
      </c>
      <c r="B150" s="18" t="s">
        <v>212</v>
      </c>
      <c r="C150" s="2"/>
      <c r="D150" s="2"/>
      <c r="E150" s="2"/>
      <c r="F150" s="2"/>
      <c r="G150" s="2"/>
      <c r="H150" s="2"/>
      <c r="I150" s="2"/>
      <c r="J150" s="2"/>
      <c r="K150" s="2"/>
      <c r="L150" s="2"/>
      <c r="M150" s="2"/>
      <c r="N150" s="2"/>
      <c r="O150" s="2"/>
      <c r="P150" s="2"/>
    </row>
    <row r="151" ht="15.75" customHeight="1">
      <c r="A151" s="18" t="s">
        <v>794</v>
      </c>
      <c r="B151" s="18" t="s">
        <v>795</v>
      </c>
      <c r="C151" s="2"/>
      <c r="D151" s="2"/>
      <c r="E151" s="2"/>
      <c r="F151" s="2"/>
      <c r="G151" s="2"/>
      <c r="H151" s="2"/>
      <c r="I151" s="2"/>
      <c r="J151" s="2"/>
      <c r="K151" s="2"/>
      <c r="L151" s="2"/>
      <c r="M151" s="2"/>
      <c r="N151" s="2"/>
      <c r="O151" s="2"/>
      <c r="P151" s="2"/>
    </row>
    <row r="152" ht="15.75" customHeight="1">
      <c r="A152" s="18" t="s">
        <v>796</v>
      </c>
      <c r="B152" s="18" t="s">
        <v>797</v>
      </c>
      <c r="C152" s="2"/>
      <c r="D152" s="2"/>
      <c r="E152" s="2"/>
      <c r="F152" s="2"/>
      <c r="G152" s="2"/>
      <c r="H152" s="2"/>
      <c r="I152" s="2"/>
      <c r="J152" s="2"/>
      <c r="K152" s="2"/>
      <c r="L152" s="2"/>
      <c r="M152" s="2"/>
      <c r="N152" s="2"/>
      <c r="O152" s="2"/>
      <c r="P152" s="2"/>
    </row>
    <row r="153" ht="15.75" customHeight="1">
      <c r="A153" s="18" t="s">
        <v>798</v>
      </c>
      <c r="B153" s="18" t="s">
        <v>799</v>
      </c>
      <c r="C153" s="2"/>
      <c r="D153" s="2"/>
      <c r="E153" s="2"/>
      <c r="F153" s="2"/>
      <c r="G153" s="2"/>
      <c r="H153" s="2"/>
      <c r="I153" s="2"/>
      <c r="J153" s="2"/>
      <c r="K153" s="2"/>
      <c r="L153" s="2"/>
      <c r="M153" s="2"/>
      <c r="N153" s="2"/>
      <c r="O153" s="2"/>
      <c r="P153" s="2"/>
    </row>
    <row r="154" ht="15.75" customHeight="1">
      <c r="A154" s="18" t="s">
        <v>800</v>
      </c>
      <c r="B154" s="18" t="s">
        <v>801</v>
      </c>
      <c r="C154" s="2"/>
      <c r="D154" s="2"/>
      <c r="E154" s="2"/>
      <c r="F154" s="2"/>
      <c r="G154" s="2"/>
      <c r="H154" s="2"/>
      <c r="I154" s="2"/>
      <c r="J154" s="2"/>
      <c r="K154" s="2"/>
      <c r="L154" s="2"/>
      <c r="M154" s="2"/>
      <c r="N154" s="2"/>
      <c r="O154" s="2"/>
      <c r="P154" s="2"/>
    </row>
    <row r="155" ht="15.75" customHeight="1">
      <c r="A155" s="18" t="s">
        <v>802</v>
      </c>
      <c r="B155" s="18" t="s">
        <v>803</v>
      </c>
      <c r="C155" s="2"/>
      <c r="D155" s="2"/>
      <c r="E155" s="2"/>
      <c r="F155" s="2"/>
      <c r="G155" s="2"/>
      <c r="H155" s="2"/>
      <c r="I155" s="2"/>
      <c r="J155" s="2"/>
      <c r="K155" s="2"/>
      <c r="L155" s="2"/>
      <c r="M155" s="2"/>
      <c r="N155" s="2"/>
      <c r="O155" s="2"/>
      <c r="P155" s="2"/>
    </row>
    <row r="156" ht="15.75" customHeight="1">
      <c r="A156" s="18" t="s">
        <v>804</v>
      </c>
      <c r="B156" s="18" t="s">
        <v>805</v>
      </c>
      <c r="C156" s="2"/>
      <c r="D156" s="2"/>
      <c r="E156" s="2"/>
      <c r="F156" s="2"/>
      <c r="G156" s="2"/>
      <c r="H156" s="2"/>
      <c r="I156" s="2"/>
      <c r="J156" s="2"/>
      <c r="K156" s="2"/>
      <c r="L156" s="2"/>
      <c r="M156" s="2"/>
      <c r="N156" s="2"/>
      <c r="O156" s="2"/>
      <c r="P156" s="2"/>
    </row>
    <row r="157" ht="15.75" customHeight="1">
      <c r="A157" s="18" t="s">
        <v>806</v>
      </c>
      <c r="B157" s="18" t="s">
        <v>807</v>
      </c>
      <c r="C157" s="2"/>
      <c r="D157" s="2"/>
      <c r="E157" s="2"/>
      <c r="F157" s="2"/>
      <c r="G157" s="2"/>
      <c r="H157" s="2"/>
      <c r="I157" s="2"/>
      <c r="J157" s="2"/>
      <c r="K157" s="2"/>
      <c r="L157" s="2"/>
      <c r="M157" s="2"/>
      <c r="N157" s="2"/>
      <c r="O157" s="2"/>
      <c r="P157" s="2"/>
    </row>
    <row r="158" ht="15.75" customHeight="1">
      <c r="A158" s="18" t="s">
        <v>808</v>
      </c>
      <c r="B158" s="18" t="s">
        <v>809</v>
      </c>
      <c r="C158" s="2"/>
      <c r="D158" s="2"/>
      <c r="E158" s="2"/>
      <c r="F158" s="2"/>
      <c r="G158" s="2"/>
      <c r="H158" s="2"/>
      <c r="I158" s="2"/>
      <c r="J158" s="2"/>
      <c r="K158" s="2"/>
      <c r="L158" s="2"/>
      <c r="M158" s="2"/>
      <c r="N158" s="2"/>
      <c r="O158" s="2"/>
      <c r="P158" s="2"/>
    </row>
    <row r="159" ht="15.75" customHeight="1">
      <c r="A159" s="18" t="s">
        <v>810</v>
      </c>
      <c r="B159" s="18" t="s">
        <v>192</v>
      </c>
      <c r="C159" s="2"/>
      <c r="D159" s="2"/>
      <c r="E159" s="2"/>
      <c r="F159" s="2"/>
      <c r="G159" s="2"/>
      <c r="H159" s="2"/>
      <c r="I159" s="2"/>
      <c r="J159" s="2"/>
      <c r="K159" s="2"/>
      <c r="L159" s="2"/>
      <c r="M159" s="2"/>
      <c r="N159" s="2"/>
      <c r="O159" s="2"/>
      <c r="P159" s="2"/>
    </row>
    <row r="160" ht="15.75" customHeight="1">
      <c r="A160" s="18" t="s">
        <v>811</v>
      </c>
      <c r="B160" s="18" t="s">
        <v>812</v>
      </c>
      <c r="C160" s="2"/>
      <c r="D160" s="2"/>
      <c r="E160" s="2"/>
      <c r="F160" s="2"/>
      <c r="G160" s="2"/>
      <c r="H160" s="2"/>
      <c r="I160" s="2"/>
      <c r="J160" s="2"/>
      <c r="K160" s="2"/>
      <c r="L160" s="2"/>
      <c r="M160" s="2"/>
      <c r="N160" s="2"/>
      <c r="O160" s="2"/>
      <c r="P160" s="2"/>
    </row>
    <row r="161" ht="15.75" customHeight="1">
      <c r="A161" s="18" t="s">
        <v>813</v>
      </c>
      <c r="B161" s="18" t="s">
        <v>814</v>
      </c>
      <c r="C161" s="2"/>
      <c r="D161" s="2"/>
      <c r="E161" s="2"/>
      <c r="F161" s="2"/>
      <c r="G161" s="2"/>
      <c r="H161" s="2"/>
      <c r="I161" s="2"/>
      <c r="J161" s="2"/>
      <c r="K161" s="2"/>
      <c r="L161" s="2"/>
      <c r="M161" s="2"/>
      <c r="N161" s="2"/>
      <c r="O161" s="2"/>
      <c r="P161" s="2"/>
    </row>
    <row r="162" ht="15.75" customHeight="1">
      <c r="A162" s="18" t="s">
        <v>815</v>
      </c>
      <c r="B162" s="18" t="s">
        <v>816</v>
      </c>
      <c r="C162" s="2"/>
      <c r="D162" s="2"/>
      <c r="E162" s="2"/>
      <c r="F162" s="2"/>
      <c r="G162" s="2"/>
      <c r="H162" s="2"/>
      <c r="I162" s="2"/>
      <c r="J162" s="2"/>
      <c r="K162" s="2"/>
      <c r="L162" s="2"/>
      <c r="M162" s="2"/>
      <c r="N162" s="2"/>
      <c r="O162" s="2"/>
      <c r="P162" s="2"/>
    </row>
    <row r="163" ht="15.75" customHeight="1">
      <c r="A163" s="18" t="s">
        <v>817</v>
      </c>
      <c r="B163" s="18" t="s">
        <v>168</v>
      </c>
      <c r="C163" s="2"/>
      <c r="D163" s="2"/>
      <c r="E163" s="2"/>
      <c r="F163" s="2"/>
      <c r="G163" s="2"/>
      <c r="H163" s="2"/>
      <c r="I163" s="2"/>
      <c r="J163" s="2"/>
      <c r="K163" s="2"/>
      <c r="L163" s="2"/>
      <c r="M163" s="2"/>
      <c r="N163" s="2"/>
      <c r="O163" s="2"/>
      <c r="P163" s="2"/>
    </row>
    <row r="164" ht="15.75" customHeight="1">
      <c r="A164" s="18" t="s">
        <v>818</v>
      </c>
      <c r="B164" s="18" t="s">
        <v>819</v>
      </c>
      <c r="C164" s="2"/>
      <c r="D164" s="2"/>
      <c r="E164" s="2"/>
      <c r="F164" s="2"/>
      <c r="G164" s="2"/>
      <c r="H164" s="2"/>
      <c r="I164" s="2"/>
      <c r="J164" s="2"/>
      <c r="K164" s="2"/>
      <c r="L164" s="2"/>
      <c r="M164" s="2"/>
      <c r="N164" s="2"/>
      <c r="O164" s="2"/>
      <c r="P164" s="2"/>
    </row>
    <row r="165" ht="15.75" customHeight="1">
      <c r="A165" s="18" t="s">
        <v>820</v>
      </c>
      <c r="B165" s="18" t="s">
        <v>821</v>
      </c>
      <c r="C165" s="2"/>
      <c r="D165" s="2"/>
      <c r="E165" s="2"/>
      <c r="F165" s="2"/>
      <c r="G165" s="2"/>
      <c r="H165" s="2"/>
      <c r="I165" s="2"/>
      <c r="J165" s="2"/>
      <c r="K165" s="2"/>
      <c r="L165" s="2"/>
      <c r="M165" s="2"/>
      <c r="N165" s="2"/>
      <c r="O165" s="2"/>
      <c r="P165" s="2"/>
    </row>
    <row r="166" ht="15.75" customHeight="1">
      <c r="A166" s="18" t="s">
        <v>822</v>
      </c>
      <c r="B166" s="18" t="s">
        <v>316</v>
      </c>
      <c r="C166" s="2"/>
      <c r="D166" s="2"/>
      <c r="E166" s="2"/>
      <c r="F166" s="2"/>
      <c r="G166" s="2"/>
      <c r="H166" s="2"/>
      <c r="I166" s="2"/>
      <c r="J166" s="2"/>
      <c r="K166" s="2"/>
      <c r="L166" s="2"/>
      <c r="M166" s="2"/>
      <c r="N166" s="2"/>
      <c r="O166" s="2"/>
      <c r="P166" s="2"/>
    </row>
    <row r="167" ht="15.75" customHeight="1">
      <c r="A167" s="18" t="s">
        <v>823</v>
      </c>
      <c r="B167" s="18" t="s">
        <v>824</v>
      </c>
      <c r="C167" s="2"/>
      <c r="D167" s="2"/>
      <c r="E167" s="2"/>
      <c r="F167" s="2"/>
      <c r="G167" s="2"/>
      <c r="H167" s="2"/>
      <c r="I167" s="2"/>
      <c r="J167" s="2"/>
      <c r="K167" s="2"/>
      <c r="L167" s="2"/>
      <c r="M167" s="2"/>
      <c r="N167" s="2"/>
      <c r="O167" s="2"/>
      <c r="P167" s="2"/>
    </row>
    <row r="168" ht="15.75" customHeight="1">
      <c r="A168" s="18" t="s">
        <v>825</v>
      </c>
      <c r="B168" s="18" t="s">
        <v>641</v>
      </c>
      <c r="C168" s="2"/>
      <c r="D168" s="2"/>
      <c r="E168" s="2"/>
      <c r="F168" s="2"/>
      <c r="G168" s="2"/>
      <c r="H168" s="2"/>
      <c r="I168" s="2"/>
      <c r="J168" s="2"/>
      <c r="K168" s="2"/>
      <c r="L168" s="2"/>
      <c r="M168" s="2"/>
      <c r="N168" s="2"/>
      <c r="O168" s="2"/>
      <c r="P168" s="2"/>
    </row>
    <row r="169" ht="15.75" customHeight="1">
      <c r="A169" s="18" t="s">
        <v>826</v>
      </c>
      <c r="B169" s="18" t="s">
        <v>827</v>
      </c>
      <c r="C169" s="2"/>
      <c r="D169" s="2"/>
      <c r="E169" s="2"/>
      <c r="F169" s="2"/>
      <c r="G169" s="2"/>
      <c r="H169" s="2"/>
      <c r="I169" s="2"/>
      <c r="J169" s="2"/>
      <c r="K169" s="2"/>
      <c r="L169" s="2"/>
      <c r="M169" s="2"/>
      <c r="N169" s="2"/>
      <c r="O169" s="2"/>
      <c r="P169" s="2"/>
    </row>
    <row r="170" ht="15.75" customHeight="1">
      <c r="A170" s="18" t="s">
        <v>828</v>
      </c>
      <c r="B170" s="18" t="s">
        <v>829</v>
      </c>
      <c r="C170" s="2"/>
      <c r="D170" s="2"/>
      <c r="E170" s="2"/>
      <c r="F170" s="2"/>
      <c r="G170" s="2"/>
      <c r="H170" s="2"/>
      <c r="I170" s="2"/>
      <c r="J170" s="2"/>
      <c r="K170" s="2"/>
      <c r="L170" s="2"/>
      <c r="M170" s="2"/>
      <c r="N170" s="2"/>
      <c r="O170" s="2"/>
      <c r="P170" s="2"/>
    </row>
    <row r="171" ht="15.75" customHeight="1">
      <c r="A171" s="18" t="s">
        <v>830</v>
      </c>
      <c r="B171" s="18" t="s">
        <v>831</v>
      </c>
      <c r="C171" s="2"/>
      <c r="D171" s="2"/>
      <c r="E171" s="2"/>
      <c r="F171" s="2"/>
      <c r="G171" s="2"/>
      <c r="H171" s="2"/>
      <c r="I171" s="2"/>
      <c r="J171" s="2"/>
      <c r="K171" s="2"/>
      <c r="L171" s="2"/>
      <c r="M171" s="2"/>
      <c r="N171" s="2"/>
      <c r="O171" s="2"/>
      <c r="P171" s="2"/>
    </row>
    <row r="172" ht="15.75" customHeight="1">
      <c r="A172" s="18" t="s">
        <v>832</v>
      </c>
      <c r="B172" s="18" t="s">
        <v>833</v>
      </c>
      <c r="C172" s="2"/>
      <c r="D172" s="2"/>
      <c r="E172" s="2"/>
      <c r="F172" s="2"/>
      <c r="G172" s="2"/>
      <c r="H172" s="2"/>
      <c r="I172" s="2"/>
      <c r="J172" s="2"/>
      <c r="K172" s="2"/>
      <c r="L172" s="2"/>
      <c r="M172" s="2"/>
      <c r="N172" s="2"/>
      <c r="O172" s="2"/>
      <c r="P172" s="2"/>
    </row>
    <row r="173" ht="15.75" customHeight="1">
      <c r="A173" s="18" t="s">
        <v>834</v>
      </c>
      <c r="B173" s="18" t="s">
        <v>165</v>
      </c>
      <c r="C173" s="2"/>
      <c r="D173" s="2"/>
      <c r="E173" s="2"/>
      <c r="F173" s="2"/>
      <c r="G173" s="2"/>
      <c r="H173" s="2"/>
      <c r="I173" s="2"/>
      <c r="J173" s="2"/>
      <c r="K173" s="2"/>
      <c r="L173" s="2"/>
      <c r="M173" s="2"/>
      <c r="N173" s="2"/>
      <c r="O173" s="2"/>
      <c r="P173" s="2"/>
    </row>
    <row r="174" ht="15.75" customHeight="1">
      <c r="A174" s="18" t="s">
        <v>835</v>
      </c>
      <c r="B174" s="18" t="s">
        <v>836</v>
      </c>
      <c r="C174" s="2"/>
      <c r="D174" s="2"/>
      <c r="E174" s="2"/>
      <c r="F174" s="2"/>
      <c r="G174" s="2"/>
      <c r="H174" s="2"/>
      <c r="I174" s="2"/>
      <c r="J174" s="2"/>
      <c r="K174" s="2"/>
      <c r="L174" s="2"/>
      <c r="M174" s="2"/>
      <c r="N174" s="2"/>
      <c r="O174" s="2"/>
      <c r="P174" s="2"/>
    </row>
    <row r="175" ht="15.75" customHeight="1">
      <c r="A175" s="18" t="s">
        <v>837</v>
      </c>
      <c r="B175" s="18" t="s">
        <v>838</v>
      </c>
      <c r="C175" s="2"/>
      <c r="D175" s="2"/>
      <c r="E175" s="2"/>
      <c r="F175" s="2"/>
      <c r="G175" s="2"/>
      <c r="H175" s="2"/>
      <c r="I175" s="2"/>
      <c r="J175" s="2"/>
      <c r="K175" s="2"/>
      <c r="L175" s="2"/>
      <c r="M175" s="2"/>
      <c r="N175" s="2"/>
      <c r="O175" s="2"/>
      <c r="P175" s="2"/>
    </row>
    <row r="176" ht="15.75" customHeight="1">
      <c r="A176" s="18" t="s">
        <v>839</v>
      </c>
      <c r="B176" s="18" t="s">
        <v>840</v>
      </c>
      <c r="C176" s="2"/>
      <c r="D176" s="2"/>
      <c r="E176" s="2"/>
      <c r="F176" s="2"/>
      <c r="G176" s="2"/>
      <c r="H176" s="2"/>
      <c r="I176" s="2"/>
      <c r="J176" s="2"/>
      <c r="K176" s="2"/>
      <c r="L176" s="2"/>
      <c r="M176" s="2"/>
      <c r="N176" s="2"/>
      <c r="O176" s="2"/>
      <c r="P176" s="2"/>
    </row>
    <row r="177" ht="15.75" customHeight="1">
      <c r="A177" s="18" t="s">
        <v>841</v>
      </c>
      <c r="B177" s="18" t="s">
        <v>842</v>
      </c>
      <c r="C177" s="2"/>
      <c r="D177" s="2"/>
      <c r="E177" s="2"/>
      <c r="F177" s="2"/>
      <c r="G177" s="2"/>
      <c r="H177" s="2"/>
      <c r="I177" s="2"/>
      <c r="J177" s="2"/>
      <c r="K177" s="2"/>
      <c r="L177" s="2"/>
      <c r="M177" s="2"/>
      <c r="N177" s="2"/>
      <c r="O177" s="2"/>
      <c r="P177" s="2"/>
    </row>
    <row r="178" ht="15.75" customHeight="1">
      <c r="A178" s="18" t="s">
        <v>843</v>
      </c>
      <c r="B178" s="18" t="s">
        <v>844</v>
      </c>
      <c r="C178" s="2"/>
      <c r="D178" s="2"/>
      <c r="E178" s="2"/>
      <c r="F178" s="2"/>
      <c r="G178" s="2"/>
      <c r="H178" s="2"/>
      <c r="I178" s="2"/>
      <c r="J178" s="2"/>
      <c r="K178" s="2"/>
      <c r="L178" s="2"/>
      <c r="M178" s="2"/>
      <c r="N178" s="2"/>
      <c r="O178" s="2"/>
      <c r="P178" s="2"/>
    </row>
    <row r="179" ht="15.75" customHeight="1">
      <c r="A179" s="18" t="s">
        <v>845</v>
      </c>
      <c r="B179" s="18" t="s">
        <v>347</v>
      </c>
      <c r="C179" s="2"/>
      <c r="D179" s="2"/>
      <c r="E179" s="2"/>
      <c r="F179" s="2"/>
      <c r="G179" s="2"/>
      <c r="H179" s="2"/>
      <c r="I179" s="2"/>
      <c r="J179" s="2"/>
      <c r="K179" s="2"/>
      <c r="L179" s="2"/>
      <c r="M179" s="2"/>
      <c r="N179" s="2"/>
      <c r="O179" s="2"/>
      <c r="P179" s="2"/>
    </row>
    <row r="180" ht="15.75" customHeight="1">
      <c r="A180" s="18" t="s">
        <v>846</v>
      </c>
      <c r="B180" s="18" t="s">
        <v>847</v>
      </c>
      <c r="C180" s="2"/>
      <c r="D180" s="2"/>
      <c r="E180" s="2"/>
      <c r="F180" s="2"/>
      <c r="G180" s="2"/>
      <c r="H180" s="2"/>
      <c r="I180" s="2"/>
      <c r="J180" s="2"/>
      <c r="K180" s="2"/>
      <c r="L180" s="2"/>
      <c r="M180" s="2"/>
      <c r="N180" s="2"/>
      <c r="O180" s="2"/>
      <c r="P180" s="2"/>
    </row>
    <row r="181" ht="15.75" customHeight="1">
      <c r="A181" s="18" t="s">
        <v>848</v>
      </c>
      <c r="B181" s="18" t="s">
        <v>849</v>
      </c>
      <c r="C181" s="2"/>
      <c r="D181" s="2"/>
      <c r="E181" s="2"/>
      <c r="F181" s="2"/>
      <c r="G181" s="2"/>
      <c r="H181" s="2"/>
      <c r="I181" s="2"/>
      <c r="J181" s="2"/>
      <c r="K181" s="2"/>
      <c r="L181" s="2"/>
      <c r="M181" s="2"/>
      <c r="N181" s="2"/>
      <c r="O181" s="2"/>
      <c r="P181" s="2"/>
    </row>
    <row r="182" ht="15.75" customHeight="1">
      <c r="A182" s="18" t="s">
        <v>850</v>
      </c>
      <c r="B182" s="18" t="s">
        <v>158</v>
      </c>
      <c r="C182" s="2"/>
      <c r="D182" s="2"/>
      <c r="E182" s="2"/>
      <c r="F182" s="2"/>
      <c r="G182" s="2"/>
      <c r="H182" s="2"/>
      <c r="I182" s="2"/>
      <c r="J182" s="2"/>
      <c r="K182" s="2"/>
      <c r="L182" s="2"/>
      <c r="M182" s="2"/>
      <c r="N182" s="2"/>
      <c r="O182" s="2"/>
      <c r="P182" s="2"/>
    </row>
    <row r="183" ht="15.75" customHeight="1">
      <c r="A183" s="18" t="s">
        <v>851</v>
      </c>
      <c r="B183" s="18" t="s">
        <v>333</v>
      </c>
      <c r="C183" s="2"/>
      <c r="D183" s="2"/>
      <c r="E183" s="2"/>
      <c r="F183" s="2"/>
      <c r="G183" s="2"/>
      <c r="H183" s="2"/>
      <c r="I183" s="2"/>
      <c r="J183" s="2"/>
      <c r="K183" s="2"/>
      <c r="L183" s="2"/>
      <c r="M183" s="2"/>
      <c r="N183" s="2"/>
      <c r="O183" s="2"/>
      <c r="P183" s="2"/>
    </row>
    <row r="184" ht="15.75" customHeight="1">
      <c r="A184" s="18" t="s">
        <v>852</v>
      </c>
      <c r="B184" s="18" t="s">
        <v>853</v>
      </c>
      <c r="C184" s="2"/>
      <c r="D184" s="2"/>
      <c r="E184" s="2"/>
      <c r="F184" s="2"/>
      <c r="G184" s="2"/>
      <c r="H184" s="2"/>
      <c r="I184" s="2"/>
      <c r="J184" s="2"/>
      <c r="K184" s="2"/>
      <c r="L184" s="2"/>
      <c r="M184" s="2"/>
      <c r="N184" s="2"/>
      <c r="O184" s="2"/>
      <c r="P184" s="2"/>
    </row>
    <row r="185" ht="15.75" customHeight="1">
      <c r="A185" s="18" t="s">
        <v>854</v>
      </c>
      <c r="B185" s="18" t="s">
        <v>855</v>
      </c>
      <c r="C185" s="2"/>
      <c r="D185" s="2"/>
      <c r="E185" s="2"/>
      <c r="F185" s="2"/>
      <c r="G185" s="2"/>
      <c r="H185" s="2"/>
      <c r="I185" s="2"/>
      <c r="J185" s="2"/>
      <c r="K185" s="2"/>
      <c r="L185" s="2"/>
      <c r="M185" s="2"/>
      <c r="N185" s="2"/>
      <c r="O185" s="2"/>
      <c r="P185" s="2"/>
    </row>
    <row r="186" ht="15.75" customHeight="1">
      <c r="A186" s="18" t="s">
        <v>856</v>
      </c>
      <c r="B186" s="18" t="s">
        <v>857</v>
      </c>
      <c r="C186" s="2"/>
      <c r="D186" s="2"/>
      <c r="E186" s="2"/>
      <c r="F186" s="2"/>
      <c r="G186" s="2"/>
      <c r="H186" s="2"/>
      <c r="I186" s="2"/>
      <c r="J186" s="2"/>
      <c r="K186" s="2"/>
      <c r="L186" s="2"/>
      <c r="M186" s="2"/>
      <c r="N186" s="2"/>
      <c r="O186" s="2"/>
      <c r="P186" s="2"/>
    </row>
    <row r="187" ht="15.75" customHeight="1">
      <c r="A187" s="18" t="s">
        <v>458</v>
      </c>
      <c r="B187" s="18" t="s">
        <v>858</v>
      </c>
      <c r="C187" s="2"/>
      <c r="D187" s="2"/>
      <c r="E187" s="2"/>
      <c r="F187" s="2"/>
      <c r="G187" s="2"/>
      <c r="H187" s="2"/>
      <c r="I187" s="2"/>
      <c r="J187" s="2"/>
      <c r="K187" s="2"/>
      <c r="L187" s="2"/>
      <c r="M187" s="2"/>
      <c r="N187" s="2"/>
      <c r="O187" s="2"/>
      <c r="P187" s="2"/>
    </row>
    <row r="188" ht="15.75" customHeight="1">
      <c r="A188" s="18" t="s">
        <v>859</v>
      </c>
      <c r="B188" s="18" t="s">
        <v>212</v>
      </c>
      <c r="C188" s="2"/>
      <c r="D188" s="2"/>
      <c r="E188" s="2"/>
      <c r="F188" s="2"/>
      <c r="G188" s="2"/>
      <c r="H188" s="2"/>
      <c r="I188" s="2"/>
      <c r="J188" s="2"/>
      <c r="K188" s="2"/>
      <c r="L188" s="2"/>
      <c r="M188" s="2"/>
      <c r="N188" s="2"/>
      <c r="O188" s="2"/>
      <c r="P188" s="2"/>
    </row>
    <row r="189" ht="15.75" customHeight="1">
      <c r="A189" s="18" t="s">
        <v>860</v>
      </c>
      <c r="B189" s="18" t="s">
        <v>861</v>
      </c>
      <c r="C189" s="2"/>
      <c r="D189" s="2"/>
      <c r="E189" s="2"/>
      <c r="F189" s="2"/>
      <c r="G189" s="2"/>
      <c r="H189" s="2"/>
      <c r="I189" s="2"/>
      <c r="J189" s="2"/>
      <c r="K189" s="2"/>
      <c r="L189" s="2"/>
      <c r="M189" s="2"/>
      <c r="N189" s="2"/>
      <c r="O189" s="2"/>
      <c r="P189" s="2"/>
    </row>
    <row r="190" ht="15.75" customHeight="1">
      <c r="A190" s="18" t="s">
        <v>862</v>
      </c>
      <c r="B190" s="18" t="s">
        <v>863</v>
      </c>
      <c r="C190" s="2"/>
      <c r="D190" s="2"/>
      <c r="E190" s="2"/>
      <c r="F190" s="2"/>
      <c r="G190" s="2"/>
      <c r="H190" s="2"/>
      <c r="I190" s="2"/>
      <c r="J190" s="2"/>
      <c r="K190" s="2"/>
      <c r="L190" s="2"/>
      <c r="M190" s="2"/>
      <c r="N190" s="2"/>
      <c r="O190" s="2"/>
      <c r="P190" s="2"/>
    </row>
    <row r="191" ht="15.75" customHeight="1">
      <c r="A191" s="18" t="s">
        <v>864</v>
      </c>
      <c r="B191" s="18" t="s">
        <v>865</v>
      </c>
      <c r="C191" s="2"/>
      <c r="D191" s="2"/>
      <c r="E191" s="2"/>
      <c r="F191" s="2"/>
      <c r="G191" s="2"/>
      <c r="H191" s="2"/>
      <c r="I191" s="2"/>
      <c r="J191" s="2"/>
      <c r="K191" s="2"/>
      <c r="L191" s="2"/>
      <c r="M191" s="2"/>
      <c r="N191" s="2"/>
      <c r="O191" s="2"/>
      <c r="P191" s="2"/>
    </row>
    <row r="192" ht="15.75" customHeight="1">
      <c r="A192" s="18" t="s">
        <v>866</v>
      </c>
      <c r="B192" s="18" t="s">
        <v>200</v>
      </c>
      <c r="C192" s="2"/>
      <c r="D192" s="2"/>
      <c r="E192" s="2"/>
      <c r="F192" s="2"/>
      <c r="G192" s="2"/>
      <c r="H192" s="2"/>
      <c r="I192" s="2"/>
      <c r="J192" s="2"/>
      <c r="K192" s="2"/>
      <c r="L192" s="2"/>
      <c r="M192" s="2"/>
      <c r="N192" s="2"/>
      <c r="O192" s="2"/>
      <c r="P192" s="2"/>
    </row>
    <row r="193" ht="15.75" customHeight="1">
      <c r="A193" s="18" t="s">
        <v>867</v>
      </c>
      <c r="B193" s="18" t="s">
        <v>868</v>
      </c>
      <c r="C193" s="2"/>
      <c r="D193" s="2"/>
      <c r="E193" s="2"/>
      <c r="F193" s="2"/>
      <c r="G193" s="2"/>
      <c r="H193" s="2"/>
      <c r="I193" s="2"/>
      <c r="J193" s="2"/>
      <c r="K193" s="2"/>
      <c r="L193" s="2"/>
      <c r="M193" s="2"/>
      <c r="N193" s="2"/>
      <c r="O193" s="2"/>
      <c r="P193" s="2"/>
    </row>
    <row r="194" ht="15.75" customHeight="1">
      <c r="A194" s="18" t="s">
        <v>869</v>
      </c>
      <c r="B194" s="18" t="s">
        <v>133</v>
      </c>
      <c r="C194" s="2"/>
      <c r="D194" s="2"/>
      <c r="E194" s="2"/>
      <c r="F194" s="2"/>
      <c r="G194" s="2"/>
      <c r="H194" s="2"/>
      <c r="I194" s="2"/>
      <c r="J194" s="2"/>
      <c r="K194" s="2"/>
      <c r="L194" s="2"/>
      <c r="M194" s="2"/>
      <c r="N194" s="2"/>
      <c r="O194" s="2"/>
      <c r="P194" s="2"/>
    </row>
    <row r="195" ht="15.75" customHeight="1">
      <c r="A195" s="18" t="s">
        <v>870</v>
      </c>
      <c r="B195" s="18" t="s">
        <v>121</v>
      </c>
      <c r="C195" s="2"/>
      <c r="D195" s="2"/>
      <c r="E195" s="2"/>
      <c r="F195" s="2"/>
      <c r="G195" s="2"/>
      <c r="H195" s="2"/>
      <c r="I195" s="2"/>
      <c r="J195" s="2"/>
      <c r="K195" s="2"/>
      <c r="L195" s="2"/>
      <c r="M195" s="2"/>
      <c r="N195" s="2"/>
      <c r="O195" s="2"/>
      <c r="P195" s="2"/>
    </row>
    <row r="196" ht="15.75" customHeight="1">
      <c r="A196" s="18" t="s">
        <v>871</v>
      </c>
      <c r="B196" s="18" t="s">
        <v>872</v>
      </c>
      <c r="C196" s="2"/>
      <c r="D196" s="2"/>
      <c r="E196" s="2"/>
      <c r="F196" s="2"/>
      <c r="G196" s="2"/>
      <c r="H196" s="2"/>
      <c r="I196" s="2"/>
      <c r="J196" s="2"/>
      <c r="K196" s="2"/>
      <c r="L196" s="2"/>
      <c r="M196" s="2"/>
      <c r="N196" s="2"/>
      <c r="O196" s="2"/>
      <c r="P196" s="2"/>
    </row>
    <row r="197" ht="15.75" customHeight="1">
      <c r="A197" s="18" t="s">
        <v>873</v>
      </c>
      <c r="B197" s="18" t="s">
        <v>797</v>
      </c>
      <c r="C197" s="2"/>
      <c r="D197" s="2"/>
      <c r="E197" s="2"/>
      <c r="F197" s="2"/>
      <c r="G197" s="2"/>
      <c r="H197" s="2"/>
      <c r="I197" s="2"/>
      <c r="J197" s="2"/>
      <c r="K197" s="2"/>
      <c r="L197" s="2"/>
      <c r="M197" s="2"/>
      <c r="N197" s="2"/>
      <c r="O197" s="2"/>
      <c r="P197" s="2"/>
    </row>
    <row r="198" ht="15.75" customHeight="1">
      <c r="A198" s="18" t="s">
        <v>874</v>
      </c>
      <c r="B198" s="18" t="s">
        <v>875</v>
      </c>
      <c r="C198" s="2"/>
      <c r="D198" s="2"/>
      <c r="E198" s="2"/>
      <c r="F198" s="2"/>
      <c r="G198" s="2"/>
      <c r="H198" s="2"/>
      <c r="I198" s="2"/>
      <c r="J198" s="2"/>
      <c r="K198" s="2"/>
      <c r="L198" s="2"/>
      <c r="M198" s="2"/>
      <c r="N198" s="2"/>
      <c r="O198" s="2"/>
      <c r="P198" s="2"/>
    </row>
    <row r="199" ht="15.75" customHeight="1">
      <c r="A199" s="18" t="s">
        <v>876</v>
      </c>
      <c r="B199" s="18" t="s">
        <v>877</v>
      </c>
      <c r="C199" s="2"/>
      <c r="D199" s="2"/>
      <c r="E199" s="2"/>
      <c r="F199" s="2"/>
      <c r="G199" s="2"/>
      <c r="H199" s="2"/>
      <c r="I199" s="2"/>
      <c r="J199" s="2"/>
      <c r="K199" s="2"/>
      <c r="L199" s="2"/>
      <c r="M199" s="2"/>
      <c r="N199" s="2"/>
      <c r="O199" s="2"/>
      <c r="P199" s="2"/>
    </row>
    <row r="200" ht="15.75" customHeight="1">
      <c r="A200" s="18" t="s">
        <v>878</v>
      </c>
      <c r="B200" s="18" t="s">
        <v>879</v>
      </c>
      <c r="C200" s="2"/>
      <c r="D200" s="2"/>
      <c r="E200" s="2"/>
      <c r="F200" s="2"/>
      <c r="G200" s="2"/>
      <c r="H200" s="2"/>
      <c r="I200" s="2"/>
      <c r="J200" s="2"/>
      <c r="K200" s="2"/>
      <c r="L200" s="2"/>
      <c r="M200" s="2"/>
      <c r="N200" s="2"/>
      <c r="O200" s="2"/>
      <c r="P200" s="2"/>
    </row>
    <row r="201" ht="15.75" customHeight="1">
      <c r="A201" s="18" t="s">
        <v>880</v>
      </c>
      <c r="B201" s="18" t="s">
        <v>727</v>
      </c>
      <c r="C201" s="2"/>
      <c r="D201" s="2"/>
      <c r="E201" s="2"/>
      <c r="F201" s="2"/>
      <c r="G201" s="2"/>
      <c r="H201" s="2"/>
      <c r="I201" s="2"/>
      <c r="J201" s="2"/>
      <c r="K201" s="2"/>
      <c r="L201" s="2"/>
      <c r="M201" s="2"/>
      <c r="N201" s="2"/>
      <c r="O201" s="2"/>
      <c r="P201" s="2"/>
    </row>
    <row r="202" ht="15.75" customHeight="1">
      <c r="A202" s="18" t="s">
        <v>881</v>
      </c>
      <c r="B202" s="18" t="s">
        <v>168</v>
      </c>
      <c r="C202" s="2"/>
      <c r="D202" s="2"/>
      <c r="E202" s="2"/>
      <c r="F202" s="2"/>
      <c r="G202" s="2"/>
      <c r="H202" s="2"/>
      <c r="I202" s="2"/>
      <c r="J202" s="2"/>
      <c r="K202" s="2"/>
      <c r="L202" s="2"/>
      <c r="M202" s="2"/>
      <c r="N202" s="2"/>
      <c r="O202" s="2"/>
      <c r="P202" s="2"/>
    </row>
    <row r="203" ht="15.75" customHeight="1">
      <c r="A203" s="18" t="s">
        <v>882</v>
      </c>
      <c r="B203" s="18" t="s">
        <v>883</v>
      </c>
      <c r="C203" s="2"/>
      <c r="D203" s="2"/>
      <c r="E203" s="2"/>
      <c r="F203" s="2"/>
      <c r="G203" s="2"/>
      <c r="H203" s="2"/>
      <c r="I203" s="2"/>
      <c r="J203" s="2"/>
      <c r="K203" s="2"/>
      <c r="L203" s="2"/>
      <c r="M203" s="2"/>
      <c r="N203" s="2"/>
      <c r="O203" s="2"/>
      <c r="P203" s="2"/>
    </row>
    <row r="204" ht="15.75" customHeight="1">
      <c r="A204" s="18" t="s">
        <v>884</v>
      </c>
      <c r="B204" s="18" t="s">
        <v>885</v>
      </c>
      <c r="C204" s="2"/>
      <c r="D204" s="2"/>
      <c r="E204" s="2"/>
      <c r="F204" s="2"/>
      <c r="G204" s="2"/>
      <c r="H204" s="2"/>
      <c r="I204" s="2"/>
      <c r="J204" s="2"/>
      <c r="K204" s="2"/>
      <c r="L204" s="2"/>
      <c r="M204" s="2"/>
      <c r="N204" s="2"/>
      <c r="O204" s="2"/>
      <c r="P204" s="2"/>
    </row>
    <row r="205" ht="15.75" customHeight="1">
      <c r="A205" s="18" t="s">
        <v>886</v>
      </c>
      <c r="B205" s="18" t="s">
        <v>887</v>
      </c>
      <c r="C205" s="2"/>
      <c r="D205" s="2"/>
      <c r="E205" s="2"/>
      <c r="F205" s="2"/>
      <c r="G205" s="2"/>
      <c r="H205" s="2"/>
      <c r="I205" s="2"/>
      <c r="J205" s="2"/>
      <c r="K205" s="2"/>
      <c r="L205" s="2"/>
      <c r="M205" s="2"/>
      <c r="N205" s="2"/>
      <c r="O205" s="2"/>
      <c r="P205" s="2"/>
    </row>
    <row r="206" ht="15.75" customHeight="1">
      <c r="A206" s="18" t="s">
        <v>888</v>
      </c>
      <c r="B206" s="18" t="s">
        <v>889</v>
      </c>
      <c r="C206" s="2"/>
      <c r="D206" s="2"/>
      <c r="E206" s="2"/>
      <c r="F206" s="2"/>
      <c r="G206" s="2"/>
      <c r="H206" s="2"/>
      <c r="I206" s="2"/>
      <c r="J206" s="2"/>
      <c r="K206" s="2"/>
      <c r="L206" s="2"/>
      <c r="M206" s="2"/>
      <c r="N206" s="2"/>
      <c r="O206" s="2"/>
      <c r="P206" s="2"/>
    </row>
    <row r="207" ht="15.75" customHeight="1">
      <c r="A207" s="18" t="s">
        <v>890</v>
      </c>
      <c r="B207" s="18" t="s">
        <v>891</v>
      </c>
      <c r="C207" s="2"/>
      <c r="D207" s="2"/>
      <c r="E207" s="2"/>
      <c r="F207" s="2"/>
      <c r="G207" s="2"/>
      <c r="H207" s="2"/>
      <c r="I207" s="2"/>
      <c r="J207" s="2"/>
      <c r="K207" s="2"/>
      <c r="L207" s="2"/>
      <c r="M207" s="2"/>
      <c r="N207" s="2"/>
      <c r="O207" s="2"/>
      <c r="P207" s="2"/>
    </row>
    <row r="208" ht="15.75" customHeight="1">
      <c r="A208" s="18" t="s">
        <v>892</v>
      </c>
      <c r="B208" s="18" t="s">
        <v>893</v>
      </c>
      <c r="C208" s="2"/>
      <c r="D208" s="2"/>
      <c r="E208" s="2"/>
      <c r="F208" s="2"/>
      <c r="G208" s="2"/>
      <c r="H208" s="2"/>
      <c r="I208" s="2"/>
      <c r="J208" s="2"/>
      <c r="K208" s="2"/>
      <c r="L208" s="2"/>
      <c r="M208" s="2"/>
      <c r="N208" s="2"/>
      <c r="O208" s="2"/>
      <c r="P208" s="2"/>
    </row>
    <row r="209" ht="15.75" customHeight="1">
      <c r="A209" s="18" t="s">
        <v>894</v>
      </c>
      <c r="B209" s="18" t="s">
        <v>895</v>
      </c>
      <c r="C209" s="2"/>
      <c r="D209" s="2"/>
      <c r="E209" s="2"/>
      <c r="F209" s="2"/>
      <c r="G209" s="2"/>
      <c r="H209" s="2"/>
      <c r="I209" s="2"/>
      <c r="J209" s="2"/>
      <c r="K209" s="2"/>
      <c r="L209" s="2"/>
      <c r="M209" s="2"/>
      <c r="N209" s="2"/>
      <c r="O209" s="2"/>
      <c r="P209" s="2"/>
    </row>
    <row r="210" ht="15.75" customHeight="1">
      <c r="A210" s="18" t="s">
        <v>896</v>
      </c>
      <c r="B210" s="18" t="s">
        <v>129</v>
      </c>
      <c r="C210" s="2"/>
      <c r="D210" s="2"/>
      <c r="E210" s="2"/>
      <c r="F210" s="2"/>
      <c r="G210" s="2"/>
      <c r="H210" s="2"/>
      <c r="I210" s="2"/>
      <c r="J210" s="2"/>
      <c r="K210" s="2"/>
      <c r="L210" s="2"/>
      <c r="M210" s="2"/>
      <c r="N210" s="2"/>
      <c r="O210" s="2"/>
      <c r="P210" s="2"/>
    </row>
    <row r="211" ht="15.75" customHeight="1">
      <c r="A211" s="18" t="s">
        <v>897</v>
      </c>
      <c r="B211" s="18" t="s">
        <v>898</v>
      </c>
      <c r="C211" s="2"/>
      <c r="D211" s="2"/>
      <c r="E211" s="2"/>
      <c r="F211" s="2"/>
      <c r="G211" s="2"/>
      <c r="H211" s="2"/>
      <c r="I211" s="2"/>
      <c r="J211" s="2"/>
      <c r="K211" s="2"/>
      <c r="L211" s="2"/>
      <c r="M211" s="2"/>
      <c r="N211" s="2"/>
      <c r="O211" s="2"/>
      <c r="P211" s="2"/>
    </row>
    <row r="212" ht="15.75" customHeight="1">
      <c r="A212" s="18" t="s">
        <v>899</v>
      </c>
      <c r="B212" s="18" t="s">
        <v>900</v>
      </c>
      <c r="C212" s="2"/>
      <c r="D212" s="2"/>
      <c r="E212" s="2"/>
      <c r="F212" s="2"/>
      <c r="G212" s="2"/>
      <c r="H212" s="2"/>
      <c r="I212" s="2"/>
      <c r="J212" s="2"/>
      <c r="K212" s="2"/>
      <c r="L212" s="2"/>
      <c r="M212" s="2"/>
      <c r="N212" s="2"/>
      <c r="O212" s="2"/>
      <c r="P212" s="2"/>
    </row>
    <row r="213" ht="15.75" customHeight="1">
      <c r="A213" s="18" t="s">
        <v>403</v>
      </c>
      <c r="B213" s="18" t="s">
        <v>901</v>
      </c>
      <c r="C213" s="2"/>
      <c r="D213" s="2"/>
      <c r="E213" s="2"/>
      <c r="F213" s="2"/>
      <c r="G213" s="2"/>
      <c r="H213" s="2"/>
      <c r="I213" s="2"/>
      <c r="J213" s="2"/>
      <c r="K213" s="2"/>
      <c r="L213" s="2"/>
      <c r="M213" s="2"/>
      <c r="N213" s="2"/>
      <c r="O213" s="2"/>
      <c r="P213" s="2"/>
    </row>
    <row r="214" ht="15.75" customHeight="1">
      <c r="A214" s="18" t="s">
        <v>902</v>
      </c>
      <c r="B214" s="18" t="s">
        <v>903</v>
      </c>
      <c r="C214" s="2"/>
      <c r="D214" s="2"/>
      <c r="E214" s="2"/>
      <c r="F214" s="2"/>
      <c r="G214" s="2"/>
      <c r="H214" s="2"/>
      <c r="I214" s="2"/>
      <c r="J214" s="2"/>
      <c r="K214" s="2"/>
      <c r="L214" s="2"/>
      <c r="M214" s="2"/>
      <c r="N214" s="2"/>
      <c r="O214" s="2"/>
      <c r="P214" s="2"/>
    </row>
    <row r="215" ht="15.75" customHeight="1">
      <c r="A215" s="18" t="s">
        <v>904</v>
      </c>
      <c r="B215" s="18" t="s">
        <v>133</v>
      </c>
      <c r="C215" s="2"/>
      <c r="D215" s="2"/>
      <c r="E215" s="2"/>
      <c r="F215" s="2"/>
      <c r="G215" s="2"/>
      <c r="H215" s="2"/>
      <c r="I215" s="2"/>
      <c r="J215" s="2"/>
      <c r="K215" s="2"/>
      <c r="L215" s="2"/>
      <c r="M215" s="2"/>
      <c r="N215" s="2"/>
      <c r="O215" s="2"/>
      <c r="P215" s="2"/>
    </row>
    <row r="216" ht="15.75" customHeight="1">
      <c r="A216" s="18" t="s">
        <v>905</v>
      </c>
      <c r="B216" s="18" t="s">
        <v>304</v>
      </c>
      <c r="C216" s="2"/>
      <c r="D216" s="2"/>
      <c r="E216" s="2"/>
      <c r="F216" s="2"/>
      <c r="G216" s="2"/>
      <c r="H216" s="2"/>
      <c r="I216" s="2"/>
      <c r="J216" s="2"/>
      <c r="K216" s="2"/>
      <c r="L216" s="2"/>
      <c r="M216" s="2"/>
      <c r="N216" s="2"/>
      <c r="O216" s="2"/>
      <c r="P216" s="2"/>
    </row>
    <row r="217" ht="15.75" customHeight="1">
      <c r="A217" s="18" t="s">
        <v>906</v>
      </c>
      <c r="B217" s="18" t="s">
        <v>907</v>
      </c>
      <c r="C217" s="2"/>
      <c r="D217" s="2"/>
      <c r="E217" s="2"/>
      <c r="F217" s="2"/>
      <c r="G217" s="2"/>
      <c r="H217" s="2"/>
      <c r="I217" s="2"/>
      <c r="J217" s="2"/>
      <c r="K217" s="2"/>
      <c r="L217" s="2"/>
      <c r="M217" s="2"/>
      <c r="N217" s="2"/>
      <c r="O217" s="2"/>
      <c r="P217" s="2"/>
    </row>
    <row r="218" ht="15.75" customHeight="1">
      <c r="A218" s="18" t="s">
        <v>908</v>
      </c>
      <c r="B218" s="18" t="s">
        <v>179</v>
      </c>
      <c r="C218" s="2"/>
      <c r="D218" s="2"/>
      <c r="E218" s="2"/>
      <c r="F218" s="2"/>
      <c r="G218" s="2"/>
      <c r="H218" s="2"/>
      <c r="I218" s="2"/>
      <c r="J218" s="2"/>
      <c r="K218" s="2"/>
      <c r="L218" s="2"/>
      <c r="M218" s="2"/>
      <c r="N218" s="2"/>
      <c r="O218" s="2"/>
      <c r="P218" s="2"/>
    </row>
    <row r="219" ht="15.75" customHeight="1">
      <c r="A219" s="18" t="s">
        <v>909</v>
      </c>
      <c r="B219" s="18" t="s">
        <v>910</v>
      </c>
      <c r="C219" s="2"/>
      <c r="D219" s="2"/>
      <c r="E219" s="2"/>
      <c r="F219" s="2"/>
      <c r="G219" s="2"/>
      <c r="H219" s="2"/>
      <c r="I219" s="2"/>
      <c r="J219" s="2"/>
      <c r="K219" s="2"/>
      <c r="L219" s="2"/>
      <c r="M219" s="2"/>
      <c r="N219" s="2"/>
      <c r="O219" s="2"/>
      <c r="P219" s="2"/>
    </row>
    <row r="220" ht="15.75" customHeight="1">
      <c r="A220" s="18" t="s">
        <v>295</v>
      </c>
      <c r="B220" s="18" t="s">
        <v>911</v>
      </c>
      <c r="C220" s="2"/>
      <c r="D220" s="2"/>
      <c r="E220" s="2"/>
      <c r="F220" s="2"/>
      <c r="G220" s="2"/>
      <c r="H220" s="2"/>
      <c r="I220" s="2"/>
      <c r="J220" s="2"/>
      <c r="K220" s="2"/>
      <c r="L220" s="2"/>
      <c r="M220" s="2"/>
      <c r="N220" s="2"/>
      <c r="O220" s="2"/>
      <c r="P220" s="2"/>
    </row>
    <row r="221" ht="15.75" customHeight="1">
      <c r="A221" s="18" t="s">
        <v>912</v>
      </c>
      <c r="B221" s="18" t="s">
        <v>913</v>
      </c>
      <c r="C221" s="2"/>
      <c r="D221" s="2"/>
      <c r="E221" s="2"/>
      <c r="F221" s="2"/>
      <c r="G221" s="2"/>
      <c r="H221" s="2"/>
      <c r="I221" s="2"/>
      <c r="J221" s="2"/>
      <c r="K221" s="2"/>
      <c r="L221" s="2"/>
      <c r="M221" s="2"/>
      <c r="N221" s="2"/>
      <c r="O221" s="2"/>
      <c r="P221" s="2"/>
    </row>
    <row r="222" ht="15.75" customHeight="1">
      <c r="A222" s="18" t="s">
        <v>914</v>
      </c>
      <c r="B222" s="18" t="s">
        <v>915</v>
      </c>
      <c r="C222" s="2"/>
      <c r="D222" s="2"/>
      <c r="E222" s="2"/>
      <c r="F222" s="2"/>
      <c r="G222" s="2"/>
      <c r="H222" s="2"/>
      <c r="I222" s="2"/>
      <c r="J222" s="2"/>
      <c r="K222" s="2"/>
      <c r="L222" s="2"/>
      <c r="M222" s="2"/>
      <c r="N222" s="2"/>
      <c r="O222" s="2"/>
      <c r="P222" s="2"/>
    </row>
    <row r="223" ht="15.75" customHeight="1">
      <c r="A223" s="18" t="s">
        <v>916</v>
      </c>
      <c r="B223" s="18" t="s">
        <v>917</v>
      </c>
      <c r="C223" s="2"/>
      <c r="D223" s="2"/>
      <c r="E223" s="2"/>
      <c r="F223" s="2"/>
      <c r="G223" s="2"/>
      <c r="H223" s="2"/>
      <c r="I223" s="2"/>
      <c r="J223" s="2"/>
      <c r="K223" s="2"/>
      <c r="L223" s="2"/>
      <c r="M223" s="2"/>
      <c r="N223" s="2"/>
      <c r="O223" s="2"/>
      <c r="P223" s="2"/>
    </row>
    <row r="224" ht="15.75" customHeight="1">
      <c r="A224" s="18" t="s">
        <v>918</v>
      </c>
      <c r="B224" s="18" t="s">
        <v>919</v>
      </c>
      <c r="C224" s="2"/>
      <c r="D224" s="2"/>
      <c r="E224" s="2"/>
      <c r="F224" s="2"/>
      <c r="G224" s="2"/>
      <c r="H224" s="2"/>
      <c r="I224" s="2"/>
      <c r="J224" s="2"/>
      <c r="K224" s="2"/>
      <c r="L224" s="2"/>
      <c r="M224" s="2"/>
      <c r="N224" s="2"/>
      <c r="O224" s="2"/>
      <c r="P224" s="2"/>
    </row>
    <row r="225" ht="15.75" customHeight="1">
      <c r="A225" s="18" t="s">
        <v>920</v>
      </c>
      <c r="B225" s="18" t="s">
        <v>921</v>
      </c>
      <c r="C225" s="2"/>
      <c r="D225" s="2"/>
      <c r="E225" s="2"/>
      <c r="F225" s="2"/>
      <c r="G225" s="2"/>
      <c r="H225" s="2"/>
      <c r="I225" s="2"/>
      <c r="J225" s="2"/>
      <c r="K225" s="2"/>
      <c r="L225" s="2"/>
      <c r="M225" s="2"/>
      <c r="N225" s="2"/>
      <c r="O225" s="2"/>
      <c r="P225" s="2"/>
    </row>
    <row r="226" ht="15.75" customHeight="1">
      <c r="A226" s="18" t="s">
        <v>922</v>
      </c>
      <c r="B226" s="18" t="s">
        <v>923</v>
      </c>
      <c r="C226" s="2"/>
      <c r="D226" s="2"/>
      <c r="E226" s="2"/>
      <c r="F226" s="2"/>
      <c r="G226" s="2"/>
      <c r="H226" s="2"/>
      <c r="I226" s="2"/>
      <c r="J226" s="2"/>
      <c r="K226" s="2"/>
      <c r="L226" s="2"/>
      <c r="M226" s="2"/>
      <c r="N226" s="2"/>
      <c r="O226" s="2"/>
      <c r="P226" s="2"/>
    </row>
    <row r="227" ht="15.75" customHeight="1">
      <c r="A227" s="18" t="s">
        <v>924</v>
      </c>
      <c r="B227" s="18" t="s">
        <v>333</v>
      </c>
      <c r="C227" s="2"/>
      <c r="D227" s="2"/>
      <c r="E227" s="2"/>
      <c r="F227" s="2"/>
      <c r="G227" s="2"/>
      <c r="H227" s="2"/>
      <c r="I227" s="2"/>
      <c r="J227" s="2"/>
      <c r="K227" s="2"/>
      <c r="L227" s="2"/>
      <c r="M227" s="2"/>
      <c r="N227" s="2"/>
      <c r="O227" s="2"/>
      <c r="P227" s="2"/>
    </row>
    <row r="228" ht="15.75" customHeight="1">
      <c r="A228" s="18" t="s">
        <v>925</v>
      </c>
      <c r="B228" s="18" t="s">
        <v>727</v>
      </c>
      <c r="C228" s="2"/>
      <c r="D228" s="2"/>
      <c r="E228" s="2"/>
      <c r="F228" s="2"/>
      <c r="G228" s="2"/>
      <c r="H228" s="2"/>
      <c r="I228" s="2"/>
      <c r="J228" s="2"/>
      <c r="K228" s="2"/>
      <c r="L228" s="2"/>
      <c r="M228" s="2"/>
      <c r="N228" s="2"/>
      <c r="O228" s="2"/>
      <c r="P228" s="2"/>
    </row>
    <row r="229" ht="15.75" customHeight="1">
      <c r="A229" s="18" t="s">
        <v>926</v>
      </c>
      <c r="B229" s="18" t="s">
        <v>641</v>
      </c>
      <c r="C229" s="2"/>
      <c r="D229" s="2"/>
      <c r="E229" s="2"/>
      <c r="F229" s="2"/>
      <c r="G229" s="2"/>
      <c r="H229" s="2"/>
      <c r="I229" s="2"/>
      <c r="J229" s="2"/>
      <c r="K229" s="2"/>
      <c r="L229" s="2"/>
      <c r="M229" s="2"/>
      <c r="N229" s="2"/>
      <c r="O229" s="2"/>
      <c r="P229" s="2"/>
    </row>
    <row r="230" ht="15.75" customHeight="1">
      <c r="A230" s="18" t="s">
        <v>927</v>
      </c>
      <c r="B230" s="18" t="s">
        <v>928</v>
      </c>
      <c r="C230" s="2"/>
      <c r="D230" s="2"/>
      <c r="E230" s="2"/>
      <c r="F230" s="2"/>
      <c r="G230" s="2"/>
      <c r="H230" s="2"/>
      <c r="I230" s="2"/>
      <c r="J230" s="2"/>
      <c r="K230" s="2"/>
      <c r="L230" s="2"/>
      <c r="M230" s="2"/>
      <c r="N230" s="2"/>
      <c r="O230" s="2"/>
      <c r="P230" s="2"/>
    </row>
    <row r="231" ht="15.75" customHeight="1">
      <c r="A231" s="18" t="s">
        <v>929</v>
      </c>
      <c r="B231" s="18" t="s">
        <v>718</v>
      </c>
      <c r="C231" s="2"/>
      <c r="D231" s="2"/>
      <c r="E231" s="2"/>
      <c r="F231" s="2"/>
      <c r="G231" s="2"/>
      <c r="H231" s="2"/>
      <c r="I231" s="2"/>
      <c r="J231" s="2"/>
      <c r="K231" s="2"/>
      <c r="L231" s="2"/>
      <c r="M231" s="2"/>
      <c r="N231" s="2"/>
      <c r="O231" s="2"/>
      <c r="P231" s="2"/>
    </row>
    <row r="232" ht="15.75" customHeight="1">
      <c r="A232" s="18" t="s">
        <v>930</v>
      </c>
      <c r="B232" s="18" t="s">
        <v>931</v>
      </c>
      <c r="C232" s="2"/>
      <c r="D232" s="2"/>
      <c r="E232" s="2"/>
      <c r="F232" s="2"/>
      <c r="G232" s="2"/>
      <c r="H232" s="2"/>
      <c r="I232" s="2"/>
      <c r="J232" s="2"/>
      <c r="K232" s="2"/>
      <c r="L232" s="2"/>
      <c r="M232" s="2"/>
      <c r="N232" s="2"/>
      <c r="O232" s="2"/>
      <c r="P232" s="2"/>
    </row>
    <row r="233" ht="15.75" customHeight="1">
      <c r="A233" s="18" t="s">
        <v>932</v>
      </c>
      <c r="B233" s="18" t="s">
        <v>933</v>
      </c>
      <c r="C233" s="2"/>
      <c r="D233" s="2"/>
      <c r="E233" s="2"/>
      <c r="F233" s="2"/>
      <c r="G233" s="2"/>
      <c r="H233" s="2"/>
      <c r="I233" s="2"/>
      <c r="J233" s="2"/>
      <c r="K233" s="2"/>
      <c r="L233" s="2"/>
      <c r="M233" s="2"/>
      <c r="N233" s="2"/>
      <c r="O233" s="2"/>
      <c r="P233" s="2"/>
    </row>
    <row r="234" ht="15.75" customHeight="1">
      <c r="A234" s="18" t="s">
        <v>934</v>
      </c>
      <c r="B234" s="18" t="s">
        <v>935</v>
      </c>
      <c r="C234" s="2"/>
      <c r="D234" s="2"/>
      <c r="E234" s="2"/>
      <c r="F234" s="2"/>
      <c r="G234" s="2"/>
      <c r="H234" s="2"/>
      <c r="I234" s="2"/>
      <c r="J234" s="2"/>
      <c r="K234" s="2"/>
      <c r="L234" s="2"/>
      <c r="M234" s="2"/>
      <c r="N234" s="2"/>
      <c r="O234" s="2"/>
      <c r="P234" s="2"/>
    </row>
    <row r="235" ht="15.75" customHeight="1">
      <c r="A235" s="18" t="s">
        <v>936</v>
      </c>
      <c r="B235" s="18" t="s">
        <v>937</v>
      </c>
      <c r="C235" s="2"/>
      <c r="D235" s="2"/>
      <c r="E235" s="2"/>
      <c r="F235" s="2"/>
      <c r="G235" s="2"/>
      <c r="H235" s="2"/>
      <c r="I235" s="2"/>
      <c r="J235" s="2"/>
      <c r="K235" s="2"/>
      <c r="L235" s="2"/>
      <c r="M235" s="2"/>
      <c r="N235" s="2"/>
      <c r="O235" s="2"/>
      <c r="P235" s="2"/>
    </row>
    <row r="236" ht="15.75" customHeight="1">
      <c r="A236" s="18" t="s">
        <v>938</v>
      </c>
      <c r="B236" s="18" t="s">
        <v>939</v>
      </c>
      <c r="C236" s="2"/>
      <c r="D236" s="2"/>
      <c r="E236" s="2"/>
      <c r="F236" s="2"/>
      <c r="G236" s="2"/>
      <c r="H236" s="2"/>
      <c r="I236" s="2"/>
      <c r="J236" s="2"/>
      <c r="K236" s="2"/>
      <c r="L236" s="2"/>
      <c r="M236" s="2"/>
      <c r="N236" s="2"/>
      <c r="O236" s="2"/>
      <c r="P236" s="2"/>
    </row>
    <row r="237" ht="15.75" customHeight="1">
      <c r="A237" s="18" t="s">
        <v>940</v>
      </c>
      <c r="B237" s="18" t="s">
        <v>941</v>
      </c>
      <c r="C237" s="2"/>
      <c r="D237" s="2"/>
      <c r="E237" s="2"/>
      <c r="F237" s="2"/>
      <c r="G237" s="2"/>
      <c r="H237" s="2"/>
      <c r="I237" s="2"/>
      <c r="J237" s="2"/>
      <c r="K237" s="2"/>
      <c r="L237" s="2"/>
      <c r="M237" s="2"/>
      <c r="N237" s="2"/>
      <c r="O237" s="2"/>
      <c r="P237" s="2"/>
    </row>
    <row r="238" ht="15.75" customHeight="1">
      <c r="A238" s="18" t="s">
        <v>942</v>
      </c>
      <c r="B238" s="18" t="s">
        <v>943</v>
      </c>
      <c r="C238" s="2"/>
      <c r="D238" s="2"/>
      <c r="E238" s="2"/>
      <c r="F238" s="2"/>
      <c r="G238" s="2"/>
      <c r="H238" s="2"/>
      <c r="I238" s="2"/>
      <c r="J238" s="2"/>
      <c r="K238" s="2"/>
      <c r="L238" s="2"/>
      <c r="M238" s="2"/>
      <c r="N238" s="2"/>
      <c r="O238" s="2"/>
      <c r="P238" s="2"/>
    </row>
    <row r="239" ht="15.75" customHeight="1">
      <c r="A239" s="18" t="s">
        <v>944</v>
      </c>
      <c r="B239" s="18" t="s">
        <v>945</v>
      </c>
      <c r="C239" s="2"/>
      <c r="D239" s="2"/>
      <c r="E239" s="2"/>
      <c r="F239" s="2"/>
      <c r="G239" s="2"/>
      <c r="H239" s="2"/>
      <c r="I239" s="2"/>
      <c r="J239" s="2"/>
      <c r="K239" s="2"/>
      <c r="L239" s="2"/>
      <c r="M239" s="2"/>
      <c r="N239" s="2"/>
      <c r="O239" s="2"/>
      <c r="P239" s="2"/>
    </row>
    <row r="240" ht="15.75" customHeight="1">
      <c r="A240" s="18" t="s">
        <v>946</v>
      </c>
      <c r="B240" s="18" t="s">
        <v>212</v>
      </c>
      <c r="C240" s="2"/>
      <c r="D240" s="2"/>
      <c r="E240" s="2"/>
      <c r="F240" s="2"/>
      <c r="G240" s="2"/>
      <c r="H240" s="2"/>
      <c r="I240" s="2"/>
      <c r="J240" s="2"/>
      <c r="K240" s="2"/>
      <c r="L240" s="2"/>
      <c r="M240" s="2"/>
      <c r="N240" s="2"/>
      <c r="O240" s="2"/>
      <c r="P240" s="2"/>
    </row>
    <row r="241" ht="15.75" customHeight="1">
      <c r="A241" s="18" t="s">
        <v>947</v>
      </c>
      <c r="B241" s="18" t="s">
        <v>948</v>
      </c>
      <c r="C241" s="2"/>
      <c r="D241" s="2"/>
      <c r="E241" s="2"/>
      <c r="F241" s="2"/>
      <c r="G241" s="2"/>
      <c r="H241" s="2"/>
      <c r="I241" s="2"/>
      <c r="J241" s="2"/>
      <c r="K241" s="2"/>
      <c r="L241" s="2"/>
      <c r="M241" s="2"/>
      <c r="N241" s="2"/>
      <c r="O241" s="2"/>
      <c r="P241" s="2"/>
    </row>
    <row r="242" ht="15.75" customHeight="1">
      <c r="A242" s="18" t="s">
        <v>949</v>
      </c>
      <c r="B242" s="18" t="s">
        <v>212</v>
      </c>
      <c r="C242" s="2"/>
      <c r="D242" s="2"/>
      <c r="E242" s="2"/>
      <c r="F242" s="2"/>
      <c r="G242" s="2"/>
      <c r="H242" s="2"/>
      <c r="I242" s="2"/>
      <c r="J242" s="2"/>
      <c r="K242" s="2"/>
      <c r="L242" s="2"/>
      <c r="M242" s="2"/>
      <c r="N242" s="2"/>
      <c r="O242" s="2"/>
      <c r="P242" s="2"/>
    </row>
    <row r="243" ht="15.75" customHeight="1">
      <c r="A243" s="18" t="s">
        <v>950</v>
      </c>
      <c r="B243" s="18" t="s">
        <v>951</v>
      </c>
      <c r="C243" s="2"/>
      <c r="D243" s="2"/>
      <c r="E243" s="2"/>
      <c r="F243" s="2"/>
      <c r="G243" s="2"/>
      <c r="H243" s="2"/>
      <c r="I243" s="2"/>
      <c r="J243" s="2"/>
      <c r="K243" s="2"/>
      <c r="L243" s="2"/>
      <c r="M243" s="2"/>
      <c r="N243" s="2"/>
      <c r="O243" s="2"/>
      <c r="P243" s="2"/>
    </row>
    <row r="244" ht="15.75" customHeight="1">
      <c r="A244" s="18" t="s">
        <v>952</v>
      </c>
      <c r="B244" s="18" t="s">
        <v>953</v>
      </c>
      <c r="C244" s="2"/>
      <c r="D244" s="2"/>
      <c r="E244" s="2"/>
      <c r="F244" s="2"/>
      <c r="G244" s="2"/>
      <c r="H244" s="2"/>
      <c r="I244" s="2"/>
      <c r="J244" s="2"/>
      <c r="K244" s="2"/>
      <c r="L244" s="2"/>
      <c r="M244" s="2"/>
      <c r="N244" s="2"/>
      <c r="O244" s="2"/>
      <c r="P244" s="2"/>
    </row>
    <row r="245" ht="15.75" customHeight="1">
      <c r="A245" s="18" t="s">
        <v>954</v>
      </c>
      <c r="B245" s="18" t="s">
        <v>955</v>
      </c>
      <c r="C245" s="2"/>
      <c r="D245" s="2"/>
      <c r="E245" s="2"/>
      <c r="F245" s="2"/>
      <c r="G245" s="2"/>
      <c r="H245" s="2"/>
      <c r="I245" s="2"/>
      <c r="J245" s="2"/>
      <c r="K245" s="2"/>
      <c r="L245" s="2"/>
      <c r="M245" s="2"/>
      <c r="N245" s="2"/>
      <c r="O245" s="2"/>
      <c r="P245" s="2"/>
    </row>
    <row r="246" ht="15.75" customHeight="1">
      <c r="A246" s="18" t="s">
        <v>956</v>
      </c>
      <c r="B246" s="18" t="s">
        <v>957</v>
      </c>
      <c r="C246" s="2"/>
      <c r="D246" s="2"/>
      <c r="E246" s="2"/>
      <c r="F246" s="2"/>
      <c r="G246" s="2"/>
      <c r="H246" s="2"/>
      <c r="I246" s="2"/>
      <c r="J246" s="2"/>
      <c r="K246" s="2"/>
      <c r="L246" s="2"/>
      <c r="M246" s="2"/>
      <c r="N246" s="2"/>
      <c r="O246" s="2"/>
      <c r="P246" s="2"/>
    </row>
    <row r="247" ht="15.75" customHeight="1">
      <c r="A247" s="2" t="s">
        <v>958</v>
      </c>
      <c r="B247" s="2" t="s">
        <v>959</v>
      </c>
    </row>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9.38"/>
    <col customWidth="1" min="2" max="2" width="23.75"/>
    <col customWidth="1" min="3" max="3" width="33.0"/>
  </cols>
  <sheetData>
    <row r="1">
      <c r="A1" s="15" t="s">
        <v>0</v>
      </c>
      <c r="B1" s="20" t="s">
        <v>273</v>
      </c>
      <c r="C1" s="20" t="s">
        <v>274</v>
      </c>
    </row>
    <row r="2">
      <c r="A2" s="18" t="s">
        <v>25</v>
      </c>
      <c r="B2" s="20" t="s">
        <v>960</v>
      </c>
      <c r="C2" s="20" t="s">
        <v>961</v>
      </c>
      <c r="L2" s="2" t="s">
        <v>960</v>
      </c>
    </row>
    <row r="3">
      <c r="A3" s="18" t="s">
        <v>280</v>
      </c>
      <c r="B3" s="20" t="s">
        <v>962</v>
      </c>
      <c r="C3" s="20" t="s">
        <v>961</v>
      </c>
      <c r="L3" s="2" t="s">
        <v>962</v>
      </c>
    </row>
    <row r="4">
      <c r="A4" s="18" t="s">
        <v>17</v>
      </c>
      <c r="B4" s="20" t="s">
        <v>963</v>
      </c>
      <c r="C4" s="20" t="s">
        <v>964</v>
      </c>
      <c r="L4" s="2" t="s">
        <v>963</v>
      </c>
    </row>
    <row r="5">
      <c r="A5" s="18" t="s">
        <v>22</v>
      </c>
      <c r="B5" s="20" t="s">
        <v>965</v>
      </c>
      <c r="C5" s="20" t="s">
        <v>966</v>
      </c>
      <c r="L5" s="2" t="s">
        <v>965</v>
      </c>
    </row>
    <row r="6">
      <c r="A6" s="18" t="s">
        <v>29</v>
      </c>
      <c r="B6" s="20" t="s">
        <v>967</v>
      </c>
      <c r="C6" s="20" t="s">
        <v>968</v>
      </c>
      <c r="L6" s="2" t="s">
        <v>967</v>
      </c>
    </row>
    <row r="7">
      <c r="A7" s="18" t="s">
        <v>32</v>
      </c>
      <c r="B7" s="20" t="s">
        <v>969</v>
      </c>
      <c r="C7" s="20" t="s">
        <v>970</v>
      </c>
      <c r="L7" s="2" t="s">
        <v>969</v>
      </c>
    </row>
    <row r="8">
      <c r="A8" s="18" t="s">
        <v>35</v>
      </c>
      <c r="B8" s="20" t="s">
        <v>971</v>
      </c>
      <c r="C8" s="20" t="s">
        <v>972</v>
      </c>
      <c r="L8" s="2" t="s">
        <v>971</v>
      </c>
    </row>
    <row r="9">
      <c r="A9" s="18" t="s">
        <v>38</v>
      </c>
      <c r="B9" s="20" t="s">
        <v>973</v>
      </c>
      <c r="C9" s="20" t="s">
        <v>974</v>
      </c>
      <c r="L9" s="2" t="s">
        <v>973</v>
      </c>
    </row>
    <row r="10">
      <c r="A10" s="18" t="s">
        <v>40</v>
      </c>
      <c r="B10" s="20" t="s">
        <v>975</v>
      </c>
      <c r="C10" s="20" t="s">
        <v>976</v>
      </c>
      <c r="L10" s="2" t="s">
        <v>975</v>
      </c>
    </row>
    <row r="11">
      <c r="A11" s="18" t="s">
        <v>149</v>
      </c>
      <c r="B11" s="20" t="s">
        <v>977</v>
      </c>
      <c r="C11" s="20" t="s">
        <v>978</v>
      </c>
      <c r="L11" s="2" t="s">
        <v>977</v>
      </c>
    </row>
    <row r="12">
      <c r="A12" s="18" t="s">
        <v>151</v>
      </c>
      <c r="B12" s="20" t="s">
        <v>979</v>
      </c>
      <c r="C12" s="20" t="s">
        <v>980</v>
      </c>
      <c r="L12" s="2" t="s">
        <v>979</v>
      </c>
    </row>
    <row r="13">
      <c r="A13" s="18" t="s">
        <v>118</v>
      </c>
      <c r="B13" s="20" t="s">
        <v>981</v>
      </c>
      <c r="C13" s="20" t="s">
        <v>982</v>
      </c>
      <c r="L13" s="2" t="s">
        <v>981</v>
      </c>
    </row>
    <row r="14">
      <c r="A14" s="18" t="s">
        <v>123</v>
      </c>
      <c r="B14" s="20" t="s">
        <v>983</v>
      </c>
      <c r="C14" s="20" t="s">
        <v>984</v>
      </c>
      <c r="L14" s="2" t="s">
        <v>983</v>
      </c>
    </row>
    <row r="15">
      <c r="A15" s="18" t="s">
        <v>121</v>
      </c>
      <c r="B15" s="20" t="s">
        <v>983</v>
      </c>
      <c r="C15" s="20" t="s">
        <v>984</v>
      </c>
      <c r="L15" s="2" t="s">
        <v>983</v>
      </c>
    </row>
    <row r="16">
      <c r="A16" s="18" t="s">
        <v>127</v>
      </c>
      <c r="B16" s="20" t="s">
        <v>985</v>
      </c>
      <c r="C16" s="20" t="s">
        <v>986</v>
      </c>
      <c r="L16" s="2" t="s">
        <v>985</v>
      </c>
    </row>
    <row r="17">
      <c r="A17" s="18" t="s">
        <v>125</v>
      </c>
      <c r="B17" s="20" t="s">
        <v>987</v>
      </c>
      <c r="C17" s="20" t="s">
        <v>988</v>
      </c>
      <c r="L17" s="2" t="s">
        <v>987</v>
      </c>
    </row>
    <row r="18">
      <c r="A18" s="18" t="s">
        <v>131</v>
      </c>
      <c r="B18" s="20" t="s">
        <v>989</v>
      </c>
      <c r="C18" s="20" t="s">
        <v>990</v>
      </c>
      <c r="L18" s="2" t="s">
        <v>989</v>
      </c>
    </row>
    <row r="19">
      <c r="A19" s="18" t="s">
        <v>129</v>
      </c>
      <c r="B19" s="20" t="s">
        <v>989</v>
      </c>
      <c r="C19" s="20" t="s">
        <v>990</v>
      </c>
      <c r="L19" s="2" t="s">
        <v>989</v>
      </c>
    </row>
    <row r="20">
      <c r="A20" s="18" t="s">
        <v>135</v>
      </c>
      <c r="B20" s="20" t="s">
        <v>991</v>
      </c>
      <c r="C20" s="20" t="s">
        <v>992</v>
      </c>
      <c r="L20" s="2" t="s">
        <v>991</v>
      </c>
    </row>
    <row r="21" ht="15.75" customHeight="1">
      <c r="A21" s="18" t="s">
        <v>133</v>
      </c>
      <c r="B21" s="20" t="s">
        <v>991</v>
      </c>
      <c r="C21" s="20" t="s">
        <v>992</v>
      </c>
      <c r="L21" s="2" t="s">
        <v>991</v>
      </c>
    </row>
    <row r="22" ht="15.75" customHeight="1">
      <c r="A22" s="18" t="s">
        <v>137</v>
      </c>
      <c r="B22" s="20" t="s">
        <v>993</v>
      </c>
      <c r="C22" s="20" t="s">
        <v>994</v>
      </c>
      <c r="L22" s="2" t="s">
        <v>993</v>
      </c>
    </row>
    <row r="23" ht="15.75" customHeight="1">
      <c r="A23" s="18" t="s">
        <v>304</v>
      </c>
      <c r="B23" s="20" t="s">
        <v>995</v>
      </c>
      <c r="C23" s="20" t="s">
        <v>996</v>
      </c>
      <c r="L23" s="2" t="s">
        <v>995</v>
      </c>
    </row>
    <row r="24" ht="15.75" customHeight="1">
      <c r="A24" s="18" t="s">
        <v>111</v>
      </c>
      <c r="B24" s="20" t="s">
        <v>997</v>
      </c>
      <c r="C24" s="20" t="s">
        <v>998</v>
      </c>
      <c r="L24" s="2" t="s">
        <v>997</v>
      </c>
    </row>
    <row r="25" ht="15.75" customHeight="1">
      <c r="A25" s="18" t="s">
        <v>115</v>
      </c>
      <c r="B25" s="20" t="s">
        <v>999</v>
      </c>
      <c r="C25" s="20" t="s">
        <v>1000</v>
      </c>
      <c r="L25" s="2" t="s">
        <v>999</v>
      </c>
    </row>
    <row r="26" ht="15.75" customHeight="1">
      <c r="A26" s="18" t="s">
        <v>153</v>
      </c>
      <c r="B26" s="20" t="s">
        <v>1001</v>
      </c>
      <c r="C26" s="20" t="s">
        <v>1002</v>
      </c>
      <c r="L26" s="2" t="s">
        <v>1001</v>
      </c>
    </row>
    <row r="27" ht="15.75" customHeight="1">
      <c r="A27" s="18" t="s">
        <v>215</v>
      </c>
      <c r="B27" s="20" t="s">
        <v>1003</v>
      </c>
      <c r="C27" s="20" t="s">
        <v>1004</v>
      </c>
      <c r="L27" s="2" t="s">
        <v>1003</v>
      </c>
    </row>
    <row r="28" ht="15.75" customHeight="1">
      <c r="A28" s="18" t="s">
        <v>218</v>
      </c>
      <c r="B28" s="20" t="s">
        <v>1005</v>
      </c>
      <c r="C28" s="20" t="s">
        <v>1006</v>
      </c>
      <c r="L28" s="2" t="s">
        <v>1005</v>
      </c>
    </row>
    <row r="29" ht="15.75" customHeight="1">
      <c r="A29" s="18" t="s">
        <v>316</v>
      </c>
      <c r="B29" s="20" t="s">
        <v>1007</v>
      </c>
      <c r="C29" s="20" t="s">
        <v>1008</v>
      </c>
      <c r="L29" s="2" t="s">
        <v>1007</v>
      </c>
    </row>
    <row r="30" ht="15.75" customHeight="1">
      <c r="A30" s="18" t="s">
        <v>84</v>
      </c>
      <c r="B30" s="20" t="s">
        <v>1009</v>
      </c>
      <c r="C30" s="20" t="s">
        <v>1010</v>
      </c>
      <c r="L30" s="2" t="s">
        <v>1009</v>
      </c>
    </row>
    <row r="31" ht="15.75" customHeight="1">
      <c r="A31" s="18" t="s">
        <v>212</v>
      </c>
      <c r="B31" s="20" t="s">
        <v>1011</v>
      </c>
      <c r="C31" s="20" t="s">
        <v>1012</v>
      </c>
      <c r="L31" s="2" t="s">
        <v>1011</v>
      </c>
    </row>
    <row r="32" ht="15.75" customHeight="1">
      <c r="A32" s="18" t="s">
        <v>53</v>
      </c>
      <c r="B32" s="20" t="s">
        <v>1013</v>
      </c>
      <c r="C32" s="20" t="s">
        <v>1014</v>
      </c>
      <c r="L32" s="2" t="s">
        <v>1013</v>
      </c>
    </row>
    <row r="33" ht="15.75" customHeight="1">
      <c r="A33" s="18" t="s">
        <v>58</v>
      </c>
      <c r="B33" s="20" t="s">
        <v>1015</v>
      </c>
      <c r="C33" s="20" t="s">
        <v>1016</v>
      </c>
      <c r="L33" s="2" t="s">
        <v>1015</v>
      </c>
    </row>
    <row r="34" ht="15.75" customHeight="1">
      <c r="A34" s="18" t="s">
        <v>324</v>
      </c>
      <c r="B34" s="20" t="s">
        <v>1017</v>
      </c>
      <c r="C34" s="20" t="s">
        <v>1018</v>
      </c>
      <c r="L34" s="2" t="s">
        <v>1017</v>
      </c>
    </row>
    <row r="35" ht="15.75" customHeight="1">
      <c r="A35" s="18" t="s">
        <v>325</v>
      </c>
      <c r="B35" s="20" t="s">
        <v>1019</v>
      </c>
      <c r="C35" s="20" t="s">
        <v>1020</v>
      </c>
      <c r="L35" s="2" t="s">
        <v>1019</v>
      </c>
    </row>
    <row r="36" ht="15.75" customHeight="1">
      <c r="A36" s="18" t="s">
        <v>63</v>
      </c>
      <c r="B36" s="20" t="s">
        <v>1021</v>
      </c>
      <c r="C36" s="20" t="s">
        <v>1022</v>
      </c>
      <c r="L36" s="2" t="s">
        <v>1021</v>
      </c>
    </row>
    <row r="37" ht="15.75" customHeight="1">
      <c r="A37" s="18" t="s">
        <v>329</v>
      </c>
      <c r="B37" s="20" t="s">
        <v>1023</v>
      </c>
      <c r="C37" s="20" t="s">
        <v>1024</v>
      </c>
      <c r="L37" s="2" t="s">
        <v>1023</v>
      </c>
    </row>
    <row r="38" ht="15.75" customHeight="1">
      <c r="A38" s="18" t="s">
        <v>331</v>
      </c>
      <c r="B38" s="20" t="s">
        <v>1025</v>
      </c>
      <c r="C38" s="20" t="s">
        <v>1026</v>
      </c>
      <c r="L38" s="2" t="s">
        <v>1025</v>
      </c>
    </row>
    <row r="39" ht="15.75" customHeight="1">
      <c r="A39" s="18" t="s">
        <v>333</v>
      </c>
      <c r="B39" s="20" t="s">
        <v>1027</v>
      </c>
      <c r="C39" s="20" t="s">
        <v>1028</v>
      </c>
      <c r="L39" s="2" t="s">
        <v>1027</v>
      </c>
    </row>
    <row r="40" ht="15.75" customHeight="1">
      <c r="A40" s="18" t="s">
        <v>74</v>
      </c>
      <c r="B40" s="20" t="s">
        <v>1029</v>
      </c>
      <c r="C40" s="20" t="s">
        <v>1030</v>
      </c>
      <c r="L40" s="2" t="s">
        <v>1029</v>
      </c>
    </row>
    <row r="41" ht="15.75" customHeight="1">
      <c r="A41" s="18" t="s">
        <v>76</v>
      </c>
      <c r="B41" s="20" t="s">
        <v>1031</v>
      </c>
      <c r="C41" s="20" t="s">
        <v>1032</v>
      </c>
      <c r="L41" s="2" t="s">
        <v>1031</v>
      </c>
    </row>
    <row r="42" ht="15.75" customHeight="1">
      <c r="A42" s="18" t="s">
        <v>79</v>
      </c>
      <c r="B42" s="20" t="s">
        <v>1033</v>
      </c>
      <c r="C42" s="20" t="s">
        <v>1034</v>
      </c>
      <c r="L42" s="2" t="s">
        <v>1033</v>
      </c>
    </row>
    <row r="43" ht="15.75" customHeight="1">
      <c r="A43" s="18" t="s">
        <v>342</v>
      </c>
      <c r="B43" s="20" t="s">
        <v>1035</v>
      </c>
      <c r="C43" s="20" t="s">
        <v>1036</v>
      </c>
      <c r="L43" s="2" t="s">
        <v>1035</v>
      </c>
    </row>
    <row r="44" ht="15.75" customHeight="1">
      <c r="A44" s="18" t="s">
        <v>343</v>
      </c>
      <c r="B44" s="20" t="s">
        <v>1037</v>
      </c>
      <c r="C44" s="20" t="s">
        <v>1038</v>
      </c>
      <c r="L44" s="2" t="s">
        <v>1037</v>
      </c>
    </row>
    <row r="45" ht="15.75" customHeight="1">
      <c r="A45" s="18" t="s">
        <v>344</v>
      </c>
      <c r="B45" s="20" t="s">
        <v>1039</v>
      </c>
      <c r="C45" s="20" t="s">
        <v>1040</v>
      </c>
      <c r="L45" s="2" t="s">
        <v>1039</v>
      </c>
    </row>
    <row r="46" ht="15.75" customHeight="1">
      <c r="A46" s="18" t="s">
        <v>347</v>
      </c>
      <c r="B46" s="20" t="s">
        <v>1041</v>
      </c>
      <c r="C46" s="20" t="s">
        <v>1042</v>
      </c>
      <c r="L46" s="2" t="s">
        <v>1041</v>
      </c>
    </row>
    <row r="47" ht="15.75" customHeight="1">
      <c r="A47" s="18" t="s">
        <v>188</v>
      </c>
      <c r="B47" s="20" t="s">
        <v>1043</v>
      </c>
      <c r="C47" s="20" t="s">
        <v>1044</v>
      </c>
      <c r="L47" s="2" t="s">
        <v>1043</v>
      </c>
    </row>
    <row r="48" ht="15.75" customHeight="1">
      <c r="A48" s="18" t="s">
        <v>190</v>
      </c>
      <c r="B48" s="20" t="s">
        <v>1045</v>
      </c>
      <c r="C48" s="20" t="s">
        <v>1046</v>
      </c>
      <c r="L48" s="2" t="s">
        <v>1045</v>
      </c>
    </row>
    <row r="49" ht="15.75" customHeight="1">
      <c r="A49" s="18" t="s">
        <v>192</v>
      </c>
      <c r="B49" s="20" t="s">
        <v>1047</v>
      </c>
      <c r="C49" s="20" t="s">
        <v>1048</v>
      </c>
      <c r="L49" s="2" t="s">
        <v>1047</v>
      </c>
    </row>
    <row r="50" ht="15.75" customHeight="1">
      <c r="A50" s="18" t="s">
        <v>194</v>
      </c>
      <c r="B50" s="20" t="s">
        <v>1049</v>
      </c>
      <c r="C50" s="20" t="s">
        <v>1050</v>
      </c>
      <c r="L50" s="2" t="s">
        <v>1049</v>
      </c>
    </row>
    <row r="51" ht="15.75" customHeight="1">
      <c r="A51" s="18" t="s">
        <v>196</v>
      </c>
      <c r="B51" s="20" t="s">
        <v>1051</v>
      </c>
      <c r="C51" s="20" t="s">
        <v>1052</v>
      </c>
      <c r="L51" s="2" t="s">
        <v>1051</v>
      </c>
    </row>
    <row r="52" ht="15.75" customHeight="1">
      <c r="A52" s="18" t="s">
        <v>198</v>
      </c>
      <c r="B52" s="20" t="s">
        <v>1053</v>
      </c>
      <c r="C52" s="20" t="s">
        <v>1054</v>
      </c>
      <c r="L52" s="2" t="s">
        <v>1053</v>
      </c>
    </row>
    <row r="53" ht="15.75" customHeight="1">
      <c r="A53" s="18" t="s">
        <v>200</v>
      </c>
      <c r="B53" s="20" t="s">
        <v>1055</v>
      </c>
      <c r="C53" s="20" t="s">
        <v>1056</v>
      </c>
      <c r="L53" s="2" t="s">
        <v>1055</v>
      </c>
    </row>
    <row r="54" ht="15.75" customHeight="1">
      <c r="A54" s="18" t="s">
        <v>362</v>
      </c>
      <c r="B54" s="20" t="s">
        <v>1057</v>
      </c>
      <c r="C54" s="20" t="s">
        <v>1058</v>
      </c>
      <c r="L54" s="2" t="s">
        <v>1057</v>
      </c>
    </row>
    <row r="55" ht="15.75" customHeight="1">
      <c r="A55" s="18" t="s">
        <v>158</v>
      </c>
      <c r="B55" s="20" t="s">
        <v>1059</v>
      </c>
      <c r="C55" s="20" t="s">
        <v>1060</v>
      </c>
      <c r="L55" s="2" t="s">
        <v>1059</v>
      </c>
    </row>
    <row r="56" ht="15.75" customHeight="1">
      <c r="A56" s="18" t="s">
        <v>366</v>
      </c>
      <c r="B56" s="20" t="s">
        <v>1061</v>
      </c>
      <c r="C56" s="20" t="s">
        <v>1062</v>
      </c>
      <c r="L56" s="2" t="s">
        <v>1061</v>
      </c>
    </row>
    <row r="57" ht="15.75" customHeight="1">
      <c r="A57" s="18" t="s">
        <v>161</v>
      </c>
      <c r="B57" s="20" t="s">
        <v>1063</v>
      </c>
      <c r="C57" s="20" t="s">
        <v>1064</v>
      </c>
      <c r="L57" s="2" t="s">
        <v>1063</v>
      </c>
    </row>
    <row r="58" ht="15.75" customHeight="1">
      <c r="A58" s="18" t="s">
        <v>163</v>
      </c>
      <c r="B58" s="20" t="s">
        <v>1065</v>
      </c>
      <c r="C58" s="20" t="s">
        <v>1066</v>
      </c>
      <c r="L58" s="2" t="s">
        <v>1065</v>
      </c>
    </row>
    <row r="59" ht="15.75" customHeight="1">
      <c r="A59" s="18" t="s">
        <v>165</v>
      </c>
      <c r="B59" s="20" t="s">
        <v>1067</v>
      </c>
      <c r="C59" s="20" t="s">
        <v>1068</v>
      </c>
      <c r="L59" s="2" t="s">
        <v>1067</v>
      </c>
    </row>
    <row r="60" ht="15.75" customHeight="1">
      <c r="A60" s="18" t="s">
        <v>168</v>
      </c>
      <c r="B60" s="20" t="s">
        <v>1069</v>
      </c>
      <c r="C60" s="20" t="s">
        <v>1070</v>
      </c>
      <c r="L60" s="2" t="s">
        <v>1069</v>
      </c>
    </row>
    <row r="61" ht="15.75" customHeight="1">
      <c r="A61" s="18" t="s">
        <v>170</v>
      </c>
      <c r="B61" s="20" t="s">
        <v>1071</v>
      </c>
      <c r="C61" s="20" t="s">
        <v>1072</v>
      </c>
      <c r="L61" s="2" t="s">
        <v>1071</v>
      </c>
    </row>
    <row r="62" ht="15.75" customHeight="1">
      <c r="A62" s="18" t="s">
        <v>172</v>
      </c>
      <c r="B62" s="20" t="s">
        <v>1073</v>
      </c>
      <c r="C62" s="20" t="s">
        <v>1074</v>
      </c>
      <c r="L62" s="2" t="s">
        <v>1073</v>
      </c>
    </row>
    <row r="63" ht="15.75" customHeight="1">
      <c r="A63" s="18" t="s">
        <v>174</v>
      </c>
      <c r="B63" s="20" t="s">
        <v>1075</v>
      </c>
      <c r="C63" s="20" t="s">
        <v>1076</v>
      </c>
      <c r="L63" s="2" t="s">
        <v>1075</v>
      </c>
    </row>
    <row r="64" ht="15.75" customHeight="1">
      <c r="A64" s="18" t="s">
        <v>176</v>
      </c>
      <c r="B64" s="20" t="s">
        <v>1077</v>
      </c>
      <c r="C64" s="20" t="s">
        <v>1078</v>
      </c>
      <c r="L64" s="2" t="s">
        <v>1077</v>
      </c>
    </row>
    <row r="65" ht="15.75" customHeight="1">
      <c r="A65" s="18" t="s">
        <v>179</v>
      </c>
      <c r="B65" s="20" t="s">
        <v>1079</v>
      </c>
      <c r="C65" s="20" t="s">
        <v>1080</v>
      </c>
      <c r="L65" s="2" t="s">
        <v>1079</v>
      </c>
    </row>
    <row r="66" ht="15.75" customHeight="1">
      <c r="A66" s="18" t="s">
        <v>205</v>
      </c>
      <c r="B66" s="20" t="s">
        <v>1081</v>
      </c>
      <c r="C66" s="20" t="s">
        <v>1082</v>
      </c>
      <c r="L66" s="2" t="s">
        <v>1081</v>
      </c>
    </row>
    <row r="67" ht="15.75" customHeight="1">
      <c r="A67" s="18" t="s">
        <v>209</v>
      </c>
      <c r="B67" s="20" t="s">
        <v>1083</v>
      </c>
      <c r="C67" s="20" t="s">
        <v>1084</v>
      </c>
      <c r="L67" s="2" t="s">
        <v>1083</v>
      </c>
    </row>
    <row r="68" ht="15.75" customHeight="1">
      <c r="A68" s="18" t="s">
        <v>210</v>
      </c>
      <c r="B68" s="20" t="s">
        <v>1085</v>
      </c>
      <c r="C68" s="20" t="s">
        <v>1086</v>
      </c>
      <c r="L68" s="2" t="s">
        <v>1085</v>
      </c>
    </row>
    <row r="69" ht="15.75" customHeight="1">
      <c r="A69" s="18" t="s">
        <v>249</v>
      </c>
      <c r="B69" s="20" t="s">
        <v>1087</v>
      </c>
      <c r="C69" s="20" t="s">
        <v>1088</v>
      </c>
      <c r="L69" s="2" t="s">
        <v>1087</v>
      </c>
    </row>
    <row r="70" ht="15.75" customHeight="1">
      <c r="A70" s="18" t="s">
        <v>252</v>
      </c>
      <c r="B70" s="20" t="s">
        <v>1087</v>
      </c>
      <c r="C70" s="20" t="s">
        <v>1089</v>
      </c>
      <c r="L70" s="2" t="s">
        <v>1087</v>
      </c>
    </row>
    <row r="71" ht="15.75" customHeight="1">
      <c r="A71" s="18" t="s">
        <v>391</v>
      </c>
      <c r="B71" s="20" t="s">
        <v>1090</v>
      </c>
      <c r="C71" s="20" t="s">
        <v>1091</v>
      </c>
      <c r="L71" s="2" t="s">
        <v>1090</v>
      </c>
    </row>
    <row r="72" ht="15.75" customHeight="1">
      <c r="A72" s="2" t="s">
        <v>146</v>
      </c>
      <c r="B72" s="20" t="s">
        <v>1092</v>
      </c>
      <c r="C72" s="20" t="s">
        <v>1093</v>
      </c>
      <c r="L72" s="2" t="s">
        <v>1092</v>
      </c>
    </row>
    <row r="73" ht="15.75" customHeight="1">
      <c r="A73" s="2" t="s">
        <v>181</v>
      </c>
      <c r="B73" s="20" t="s">
        <v>1094</v>
      </c>
      <c r="C73" s="20" t="s">
        <v>1095</v>
      </c>
      <c r="L73" s="2" t="s">
        <v>1094</v>
      </c>
    </row>
    <row r="74" ht="15.75" customHeight="1">
      <c r="A74" s="2" t="s">
        <v>1096</v>
      </c>
      <c r="B74" s="20"/>
      <c r="C74" s="20"/>
    </row>
    <row r="75" ht="15.75" customHeight="1">
      <c r="A75" s="2" t="s">
        <v>1097</v>
      </c>
      <c r="B75" s="20"/>
      <c r="C75" s="20"/>
    </row>
    <row r="76" ht="15.75" customHeight="1">
      <c r="A76" s="2" t="s">
        <v>227</v>
      </c>
      <c r="B76" s="20"/>
      <c r="C76" s="20"/>
    </row>
    <row r="77" ht="15.75" customHeight="1">
      <c r="A77" s="2" t="s">
        <v>229</v>
      </c>
      <c r="B77" s="20"/>
      <c r="C77" s="20"/>
    </row>
    <row r="78" ht="15.75" customHeight="1">
      <c r="A78" s="2" t="s">
        <v>231</v>
      </c>
      <c r="B78" s="20"/>
      <c r="C78" s="20"/>
    </row>
    <row r="79" ht="15.75" customHeight="1">
      <c r="A79" s="2" t="s">
        <v>233</v>
      </c>
      <c r="B79" s="20"/>
      <c r="C79" s="20"/>
    </row>
    <row r="80" ht="15.75" customHeight="1">
      <c r="A80" s="2" t="s">
        <v>235</v>
      </c>
      <c r="B80" s="20"/>
      <c r="C80" s="20"/>
    </row>
    <row r="81" ht="15.75" customHeight="1">
      <c r="A81" s="2" t="s">
        <v>237</v>
      </c>
      <c r="B81" s="20"/>
      <c r="C81" s="20"/>
    </row>
    <row r="82" ht="15.75" customHeight="1">
      <c r="A82" s="2" t="s">
        <v>239</v>
      </c>
      <c r="B82" s="20"/>
      <c r="C82" s="20"/>
    </row>
    <row r="83" ht="15.75" customHeight="1">
      <c r="A83" s="2" t="s">
        <v>241</v>
      </c>
      <c r="B83" s="20"/>
      <c r="C83" s="20"/>
    </row>
    <row r="84" ht="15.75" customHeight="1">
      <c r="A84" s="2" t="s">
        <v>243</v>
      </c>
      <c r="B84" s="20"/>
      <c r="C84" s="20"/>
    </row>
    <row r="85" ht="15.75" customHeight="1">
      <c r="A85" s="2" t="s">
        <v>245</v>
      </c>
      <c r="B85" s="20"/>
      <c r="C85" s="20"/>
    </row>
    <row r="86" ht="15.75" customHeight="1">
      <c r="A86" s="2" t="s">
        <v>247</v>
      </c>
      <c r="B86" s="20"/>
      <c r="C86" s="20"/>
    </row>
    <row r="87" ht="15.75" customHeight="1">
      <c r="A87" s="2" t="s">
        <v>249</v>
      </c>
      <c r="B87" s="20"/>
      <c r="C87" s="20"/>
    </row>
    <row r="88" ht="15.75" customHeight="1">
      <c r="A88" s="2" t="s">
        <v>252</v>
      </c>
      <c r="B88" s="20"/>
      <c r="C88" s="20"/>
    </row>
    <row r="89" ht="15.75" customHeight="1">
      <c r="B89" s="20"/>
      <c r="C89" s="20"/>
    </row>
    <row r="90" ht="15.75" customHeight="1">
      <c r="B90" s="20"/>
      <c r="C90" s="20"/>
    </row>
    <row r="91" ht="15.75" customHeight="1">
      <c r="B91" s="20"/>
      <c r="C91" s="20"/>
    </row>
    <row r="92" ht="15.75" customHeight="1">
      <c r="B92" s="20"/>
      <c r="C92" s="20"/>
    </row>
    <row r="93" ht="15.75" customHeight="1">
      <c r="B93" s="20"/>
      <c r="C93" s="20"/>
    </row>
    <row r="94" ht="15.75" customHeight="1">
      <c r="B94" s="20"/>
      <c r="C94" s="20"/>
    </row>
    <row r="95" ht="15.75" customHeight="1">
      <c r="B95" s="20"/>
      <c r="C95" s="20"/>
    </row>
    <row r="96" ht="15.75" customHeight="1">
      <c r="B96" s="20"/>
      <c r="C96" s="20"/>
    </row>
    <row r="97" ht="15.75" customHeight="1">
      <c r="B97" s="20"/>
      <c r="C97" s="20"/>
    </row>
    <row r="98" ht="15.75" customHeight="1">
      <c r="B98" s="20"/>
      <c r="C98" s="20"/>
    </row>
    <row r="99" ht="15.75" customHeight="1">
      <c r="B99" s="20"/>
      <c r="C99" s="20"/>
    </row>
    <row r="100" ht="15.75" customHeight="1">
      <c r="B100" s="20"/>
      <c r="C100" s="20"/>
    </row>
    <row r="101" ht="15.75" customHeight="1">
      <c r="B101" s="20"/>
      <c r="C101" s="20"/>
    </row>
    <row r="102" ht="15.75" customHeight="1">
      <c r="B102" s="20"/>
      <c r="C102" s="20"/>
    </row>
    <row r="103" ht="15.75" customHeight="1">
      <c r="B103" s="20"/>
      <c r="C103" s="20"/>
    </row>
    <row r="104" ht="15.75" customHeight="1">
      <c r="B104" s="20"/>
      <c r="C104" s="20"/>
    </row>
    <row r="105" ht="15.75" customHeight="1">
      <c r="B105" s="20"/>
      <c r="C105" s="20"/>
    </row>
    <row r="106" ht="15.75" customHeight="1">
      <c r="B106" s="20"/>
      <c r="C106" s="20"/>
    </row>
    <row r="107" ht="15.75" customHeight="1">
      <c r="B107" s="20"/>
      <c r="C107" s="20"/>
    </row>
    <row r="108" ht="15.75" customHeight="1">
      <c r="B108" s="20"/>
      <c r="C108" s="20"/>
    </row>
    <row r="109" ht="15.75" customHeight="1">
      <c r="B109" s="20"/>
      <c r="C109" s="20"/>
    </row>
    <row r="110" ht="15.75" customHeight="1">
      <c r="B110" s="20"/>
      <c r="C110" s="20"/>
    </row>
    <row r="111" ht="15.75" customHeight="1">
      <c r="B111" s="20"/>
      <c r="C111" s="20"/>
    </row>
    <row r="112" ht="15.75" customHeight="1">
      <c r="B112" s="20"/>
      <c r="C112" s="20"/>
    </row>
    <row r="113" ht="15.75" customHeight="1">
      <c r="B113" s="20"/>
      <c r="C113" s="20"/>
    </row>
    <row r="114" ht="15.75" customHeight="1">
      <c r="B114" s="20"/>
      <c r="C114" s="20"/>
    </row>
    <row r="115" ht="15.75" customHeight="1">
      <c r="B115" s="20"/>
      <c r="C115" s="20"/>
    </row>
    <row r="116" ht="15.75" customHeight="1">
      <c r="B116" s="20"/>
      <c r="C116" s="20"/>
    </row>
    <row r="117" ht="15.75" customHeight="1">
      <c r="B117" s="20"/>
      <c r="C117" s="20"/>
    </row>
    <row r="118" ht="15.75" customHeight="1">
      <c r="B118" s="20"/>
      <c r="C118" s="20"/>
    </row>
    <row r="119" ht="15.75" customHeight="1">
      <c r="B119" s="20"/>
      <c r="C119" s="20"/>
    </row>
    <row r="120" ht="15.75" customHeight="1">
      <c r="B120" s="20"/>
      <c r="C120" s="20"/>
    </row>
    <row r="121" ht="15.75" customHeight="1">
      <c r="B121" s="20"/>
      <c r="C121" s="20"/>
    </row>
    <row r="122" ht="15.75" customHeight="1">
      <c r="B122" s="20"/>
      <c r="C122" s="20"/>
    </row>
    <row r="123" ht="15.75" customHeight="1">
      <c r="B123" s="20"/>
      <c r="C123" s="20"/>
    </row>
    <row r="124" ht="15.75" customHeight="1">
      <c r="B124" s="20"/>
      <c r="C124" s="20"/>
    </row>
    <row r="125" ht="15.75" customHeight="1">
      <c r="B125" s="20"/>
      <c r="C125" s="20"/>
    </row>
    <row r="126" ht="15.75" customHeight="1">
      <c r="B126" s="20"/>
      <c r="C126" s="20"/>
    </row>
    <row r="127" ht="15.75" customHeight="1">
      <c r="B127" s="20"/>
      <c r="C127" s="20"/>
    </row>
    <row r="128" ht="15.75" customHeight="1">
      <c r="B128" s="20"/>
      <c r="C128" s="20"/>
    </row>
    <row r="129" ht="15.75" customHeight="1">
      <c r="B129" s="20"/>
      <c r="C129" s="20"/>
    </row>
    <row r="130" ht="15.75" customHeight="1">
      <c r="B130" s="20"/>
      <c r="C130" s="20"/>
    </row>
    <row r="131" ht="15.75" customHeight="1">
      <c r="B131" s="20"/>
      <c r="C131" s="20"/>
    </row>
    <row r="132" ht="15.75" customHeight="1">
      <c r="B132" s="20"/>
      <c r="C132" s="20"/>
    </row>
    <row r="133" ht="15.75" customHeight="1">
      <c r="B133" s="20"/>
      <c r="C133" s="20"/>
    </row>
    <row r="134" ht="15.75" customHeight="1">
      <c r="B134" s="20"/>
      <c r="C134" s="20"/>
    </row>
    <row r="135" ht="15.75" customHeight="1">
      <c r="B135" s="20"/>
      <c r="C135" s="20"/>
    </row>
    <row r="136" ht="15.75" customHeight="1">
      <c r="B136" s="20"/>
      <c r="C136" s="20"/>
    </row>
    <row r="137" ht="15.75" customHeight="1">
      <c r="B137" s="20"/>
      <c r="C137" s="20"/>
    </row>
    <row r="138" ht="15.75" customHeight="1">
      <c r="B138" s="20"/>
      <c r="C138" s="20"/>
    </row>
    <row r="139" ht="15.75" customHeight="1">
      <c r="B139" s="20"/>
      <c r="C139" s="20"/>
    </row>
    <row r="140" ht="15.75" customHeight="1">
      <c r="B140" s="20"/>
      <c r="C140" s="20"/>
    </row>
    <row r="141" ht="15.75" customHeight="1">
      <c r="B141" s="20"/>
      <c r="C141" s="20"/>
    </row>
    <row r="142" ht="15.75" customHeight="1">
      <c r="B142" s="20"/>
      <c r="C142" s="20"/>
    </row>
    <row r="143" ht="15.75" customHeight="1">
      <c r="B143" s="20"/>
      <c r="C143" s="20"/>
    </row>
    <row r="144" ht="15.75" customHeight="1">
      <c r="B144" s="20"/>
      <c r="C144" s="20"/>
    </row>
    <row r="145" ht="15.75" customHeight="1">
      <c r="B145" s="20"/>
      <c r="C145" s="20"/>
    </row>
    <row r="146" ht="15.75" customHeight="1">
      <c r="B146" s="20"/>
      <c r="C146" s="20"/>
    </row>
    <row r="147" ht="15.75" customHeight="1">
      <c r="B147" s="20"/>
      <c r="C147" s="20"/>
    </row>
    <row r="148" ht="15.75" customHeight="1">
      <c r="B148" s="20"/>
      <c r="C148" s="20"/>
    </row>
    <row r="149" ht="15.75" customHeight="1">
      <c r="B149" s="20"/>
      <c r="C149" s="20"/>
    </row>
    <row r="150" ht="15.75" customHeight="1">
      <c r="B150" s="20"/>
      <c r="C150" s="20"/>
    </row>
    <row r="151" ht="15.75" customHeight="1">
      <c r="B151" s="20"/>
      <c r="C151" s="20"/>
    </row>
    <row r="152" ht="15.75" customHeight="1">
      <c r="B152" s="20"/>
      <c r="C152" s="20"/>
    </row>
    <row r="153" ht="15.75" customHeight="1">
      <c r="B153" s="20"/>
      <c r="C153" s="20"/>
    </row>
    <row r="154" ht="15.75" customHeight="1">
      <c r="B154" s="20"/>
      <c r="C154" s="20"/>
    </row>
    <row r="155" ht="15.75" customHeight="1">
      <c r="B155" s="20"/>
      <c r="C155" s="20"/>
    </row>
    <row r="156" ht="15.75" customHeight="1">
      <c r="B156" s="20"/>
      <c r="C156" s="20"/>
    </row>
    <row r="157" ht="15.75" customHeight="1">
      <c r="B157" s="20"/>
      <c r="C157" s="20"/>
    </row>
    <row r="158" ht="15.75" customHeight="1">
      <c r="B158" s="20"/>
      <c r="C158" s="20"/>
    </row>
    <row r="159" ht="15.75" customHeight="1">
      <c r="B159" s="20"/>
      <c r="C159" s="20"/>
    </row>
    <row r="160" ht="15.75" customHeight="1">
      <c r="B160" s="20"/>
      <c r="C160" s="20"/>
    </row>
    <row r="161" ht="15.75" customHeight="1">
      <c r="B161" s="20"/>
      <c r="C161" s="20"/>
    </row>
    <row r="162" ht="15.75" customHeight="1">
      <c r="B162" s="20"/>
      <c r="C162" s="20"/>
    </row>
    <row r="163" ht="15.75" customHeight="1">
      <c r="B163" s="20"/>
      <c r="C163" s="20"/>
    </row>
    <row r="164" ht="15.75" customHeight="1">
      <c r="B164" s="20"/>
      <c r="C164" s="20"/>
    </row>
    <row r="165" ht="15.75" customHeight="1">
      <c r="B165" s="20"/>
      <c r="C165" s="20"/>
    </row>
    <row r="166" ht="15.75" customHeight="1">
      <c r="B166" s="20"/>
      <c r="C166" s="20"/>
    </row>
    <row r="167" ht="15.75" customHeight="1">
      <c r="B167" s="20"/>
      <c r="C167" s="20"/>
    </row>
    <row r="168" ht="15.75" customHeight="1">
      <c r="B168" s="20"/>
      <c r="C168" s="20"/>
    </row>
    <row r="169" ht="15.75" customHeight="1">
      <c r="B169" s="20"/>
      <c r="C169" s="20"/>
    </row>
    <row r="170" ht="15.75" customHeight="1">
      <c r="B170" s="20"/>
      <c r="C170" s="20"/>
    </row>
    <row r="171" ht="15.75" customHeight="1">
      <c r="B171" s="20"/>
      <c r="C171" s="20"/>
    </row>
    <row r="172" ht="15.75" customHeight="1">
      <c r="B172" s="20"/>
      <c r="C172" s="20"/>
    </row>
    <row r="173" ht="15.75" customHeight="1">
      <c r="B173" s="20"/>
      <c r="C173" s="20"/>
    </row>
    <row r="174" ht="15.75" customHeight="1">
      <c r="B174" s="20"/>
      <c r="C174" s="20"/>
    </row>
    <row r="175" ht="15.75" customHeight="1">
      <c r="B175" s="20"/>
      <c r="C175" s="20"/>
    </row>
    <row r="176" ht="15.75" customHeight="1">
      <c r="B176" s="20"/>
      <c r="C176" s="20"/>
    </row>
    <row r="177" ht="15.75" customHeight="1">
      <c r="B177" s="20"/>
      <c r="C177" s="20"/>
    </row>
    <row r="178" ht="15.75" customHeight="1">
      <c r="B178" s="20"/>
      <c r="C178" s="20"/>
    </row>
    <row r="179" ht="15.75" customHeight="1">
      <c r="B179" s="20"/>
      <c r="C179" s="20"/>
    </row>
    <row r="180" ht="15.75" customHeight="1">
      <c r="B180" s="20"/>
      <c r="C180" s="20"/>
    </row>
    <row r="181" ht="15.75" customHeight="1">
      <c r="B181" s="20"/>
      <c r="C181" s="20"/>
    </row>
    <row r="182" ht="15.75" customHeight="1">
      <c r="B182" s="20"/>
      <c r="C182" s="20"/>
    </row>
    <row r="183" ht="15.75" customHeight="1">
      <c r="B183" s="20"/>
      <c r="C183" s="20"/>
    </row>
    <row r="184" ht="15.75" customHeight="1">
      <c r="B184" s="20"/>
      <c r="C184" s="20"/>
    </row>
    <row r="185" ht="15.75" customHeight="1">
      <c r="B185" s="20"/>
      <c r="C185" s="20"/>
    </row>
    <row r="186" ht="15.75" customHeight="1">
      <c r="B186" s="20"/>
      <c r="C186" s="20"/>
    </row>
    <row r="187" ht="15.75" customHeight="1">
      <c r="B187" s="20"/>
      <c r="C187" s="20"/>
    </row>
    <row r="188" ht="15.75" customHeight="1">
      <c r="B188" s="20"/>
      <c r="C188" s="20"/>
    </row>
    <row r="189" ht="15.75" customHeight="1">
      <c r="B189" s="20"/>
      <c r="C189" s="20"/>
    </row>
    <row r="190" ht="15.75" customHeight="1">
      <c r="B190" s="20"/>
      <c r="C190" s="20"/>
    </row>
    <row r="191" ht="15.75" customHeight="1">
      <c r="B191" s="20"/>
      <c r="C191" s="20"/>
    </row>
    <row r="192" ht="15.75" customHeight="1">
      <c r="B192" s="20"/>
      <c r="C192" s="20"/>
    </row>
    <row r="193" ht="15.75" customHeight="1">
      <c r="B193" s="20"/>
      <c r="C193" s="20"/>
    </row>
    <row r="194" ht="15.75" customHeight="1">
      <c r="B194" s="20"/>
      <c r="C194" s="20"/>
    </row>
    <row r="195" ht="15.75" customHeight="1">
      <c r="B195" s="20"/>
      <c r="C195" s="20"/>
    </row>
    <row r="196" ht="15.75" customHeight="1">
      <c r="B196" s="20"/>
      <c r="C196" s="20"/>
    </row>
    <row r="197" ht="15.75" customHeight="1">
      <c r="B197" s="20"/>
      <c r="C197" s="20"/>
    </row>
    <row r="198" ht="15.75" customHeight="1">
      <c r="B198" s="20"/>
      <c r="C198" s="20"/>
    </row>
    <row r="199" ht="15.75" customHeight="1">
      <c r="B199" s="20"/>
      <c r="C199" s="20"/>
    </row>
    <row r="200" ht="15.75" customHeight="1">
      <c r="B200" s="20"/>
      <c r="C200" s="20"/>
    </row>
    <row r="201" ht="15.75" customHeight="1">
      <c r="B201" s="20"/>
      <c r="C201" s="20"/>
    </row>
    <row r="202" ht="15.75" customHeight="1">
      <c r="B202" s="20"/>
      <c r="C202" s="20"/>
    </row>
    <row r="203" ht="15.75" customHeight="1">
      <c r="B203" s="20"/>
      <c r="C203" s="20"/>
    </row>
    <row r="204" ht="15.75" customHeight="1">
      <c r="B204" s="20"/>
      <c r="C204" s="20"/>
    </row>
    <row r="205" ht="15.75" customHeight="1">
      <c r="B205" s="20"/>
      <c r="C205" s="20"/>
    </row>
    <row r="206" ht="15.75" customHeight="1">
      <c r="B206" s="20"/>
      <c r="C206" s="20"/>
    </row>
    <row r="207" ht="15.75" customHeight="1">
      <c r="B207" s="20"/>
      <c r="C207" s="20"/>
    </row>
    <row r="208" ht="15.75" customHeight="1">
      <c r="B208" s="20"/>
      <c r="C208" s="20"/>
    </row>
    <row r="209" ht="15.75" customHeight="1">
      <c r="B209" s="20"/>
      <c r="C209" s="20"/>
    </row>
    <row r="210" ht="15.75" customHeight="1">
      <c r="B210" s="20"/>
      <c r="C210" s="20"/>
    </row>
    <row r="211" ht="15.75" customHeight="1">
      <c r="B211" s="20"/>
      <c r="C211" s="20"/>
    </row>
    <row r="212" ht="15.75" customHeight="1">
      <c r="B212" s="20"/>
      <c r="C212" s="20"/>
    </row>
    <row r="213" ht="15.75" customHeight="1">
      <c r="B213" s="20"/>
      <c r="C213" s="20"/>
    </row>
    <row r="214" ht="15.75" customHeight="1">
      <c r="B214" s="20"/>
      <c r="C214" s="20"/>
    </row>
    <row r="215" ht="15.75" customHeight="1">
      <c r="B215" s="20"/>
      <c r="C215" s="20"/>
    </row>
    <row r="216" ht="15.75" customHeight="1">
      <c r="B216" s="20"/>
      <c r="C216" s="20"/>
    </row>
    <row r="217" ht="15.75" customHeight="1">
      <c r="B217" s="20"/>
      <c r="C217" s="20"/>
    </row>
    <row r="218" ht="15.75" customHeight="1">
      <c r="B218" s="20"/>
      <c r="C218" s="20"/>
    </row>
    <row r="219" ht="15.75" customHeight="1">
      <c r="B219" s="20"/>
      <c r="C219" s="20"/>
    </row>
    <row r="220" ht="15.75" customHeight="1">
      <c r="B220" s="20"/>
      <c r="C220" s="20"/>
    </row>
    <row r="221" ht="15.75" customHeight="1">
      <c r="B221" s="20"/>
      <c r="C221" s="20"/>
    </row>
    <row r="222" ht="15.75" customHeight="1">
      <c r="B222" s="20"/>
      <c r="C222" s="20"/>
    </row>
    <row r="223" ht="15.75" customHeight="1">
      <c r="B223" s="20"/>
      <c r="C223" s="20"/>
    </row>
    <row r="224" ht="15.75" customHeight="1">
      <c r="B224" s="20"/>
      <c r="C224" s="20"/>
    </row>
    <row r="225" ht="15.75" customHeight="1">
      <c r="B225" s="20"/>
      <c r="C225" s="20"/>
    </row>
    <row r="226" ht="15.75" customHeight="1">
      <c r="B226" s="20"/>
      <c r="C226" s="20"/>
    </row>
    <row r="227" ht="15.75" customHeight="1">
      <c r="B227" s="20"/>
      <c r="C227" s="20"/>
    </row>
    <row r="228" ht="15.75" customHeight="1">
      <c r="B228" s="20"/>
      <c r="C228" s="20"/>
    </row>
    <row r="229" ht="15.75" customHeight="1">
      <c r="B229" s="20"/>
      <c r="C229" s="20"/>
    </row>
    <row r="230" ht="15.75" customHeight="1">
      <c r="B230" s="20"/>
      <c r="C230" s="20"/>
    </row>
    <row r="231" ht="15.75" customHeight="1">
      <c r="B231" s="20"/>
      <c r="C231" s="20"/>
    </row>
    <row r="232" ht="15.75" customHeight="1">
      <c r="B232" s="20"/>
      <c r="C232" s="20"/>
    </row>
    <row r="233" ht="15.75" customHeight="1">
      <c r="B233" s="20"/>
      <c r="C233" s="20"/>
    </row>
    <row r="234" ht="15.75" customHeight="1">
      <c r="B234" s="20"/>
      <c r="C234" s="20"/>
    </row>
    <row r="235" ht="15.75" customHeight="1">
      <c r="B235" s="20"/>
      <c r="C235" s="20"/>
    </row>
    <row r="236" ht="15.75" customHeight="1">
      <c r="B236" s="20"/>
      <c r="C236" s="20"/>
    </row>
    <row r="237" ht="15.75" customHeight="1">
      <c r="B237" s="20"/>
      <c r="C237" s="20"/>
    </row>
    <row r="238" ht="15.75" customHeight="1">
      <c r="B238" s="20"/>
      <c r="C238" s="20"/>
    </row>
    <row r="239" ht="15.75" customHeight="1">
      <c r="B239" s="20"/>
      <c r="C239" s="20"/>
    </row>
    <row r="240" ht="15.75" customHeight="1">
      <c r="B240" s="20"/>
      <c r="C240" s="20"/>
    </row>
    <row r="241" ht="15.75" customHeight="1">
      <c r="B241" s="20"/>
      <c r="C241" s="20"/>
    </row>
    <row r="242" ht="15.75" customHeight="1">
      <c r="B242" s="20"/>
      <c r="C242" s="20"/>
    </row>
    <row r="243" ht="15.75" customHeight="1">
      <c r="B243" s="20"/>
      <c r="C243" s="20"/>
    </row>
    <row r="244" ht="15.75" customHeight="1">
      <c r="B244" s="20"/>
      <c r="C244" s="20"/>
    </row>
    <row r="245" ht="15.75" customHeight="1">
      <c r="B245" s="20"/>
      <c r="C245" s="20"/>
    </row>
    <row r="246" ht="15.75" customHeight="1">
      <c r="B246" s="20"/>
      <c r="C246" s="20"/>
    </row>
    <row r="247" ht="15.75" customHeight="1">
      <c r="B247" s="20"/>
      <c r="C247" s="20"/>
    </row>
    <row r="248" ht="15.75" customHeight="1">
      <c r="B248" s="20"/>
      <c r="C248" s="20"/>
    </row>
    <row r="249" ht="15.75" customHeight="1">
      <c r="B249" s="20"/>
      <c r="C249" s="20"/>
    </row>
    <row r="250" ht="15.75" customHeight="1">
      <c r="B250" s="20"/>
      <c r="C250" s="20"/>
    </row>
    <row r="251" ht="15.75" customHeight="1">
      <c r="B251" s="20"/>
      <c r="C251" s="20"/>
    </row>
    <row r="252" ht="15.75" customHeight="1">
      <c r="B252" s="20"/>
      <c r="C252" s="20"/>
    </row>
    <row r="253" ht="15.75" customHeight="1">
      <c r="B253" s="20"/>
      <c r="C253" s="20"/>
    </row>
    <row r="254" ht="15.75" customHeight="1">
      <c r="B254" s="20"/>
      <c r="C254" s="20"/>
    </row>
    <row r="255" ht="15.75" customHeight="1">
      <c r="B255" s="20"/>
      <c r="C255" s="20"/>
    </row>
    <row r="256" ht="15.75" customHeight="1">
      <c r="B256" s="20"/>
      <c r="C256" s="20"/>
    </row>
    <row r="257" ht="15.75" customHeight="1">
      <c r="B257" s="20"/>
      <c r="C257" s="20"/>
    </row>
    <row r="258" ht="15.75" customHeight="1">
      <c r="B258" s="20"/>
      <c r="C258" s="20"/>
    </row>
    <row r="259" ht="15.75" customHeight="1">
      <c r="B259" s="20"/>
      <c r="C259" s="20"/>
    </row>
    <row r="260" ht="15.75" customHeight="1">
      <c r="B260" s="20"/>
      <c r="C260" s="20"/>
    </row>
    <row r="261" ht="15.75" customHeight="1">
      <c r="B261" s="20"/>
      <c r="C261" s="20"/>
    </row>
    <row r="262" ht="15.75" customHeight="1">
      <c r="B262" s="20"/>
      <c r="C262" s="20"/>
    </row>
    <row r="263" ht="15.75" customHeight="1">
      <c r="B263" s="20"/>
      <c r="C263" s="20"/>
    </row>
    <row r="264" ht="15.75" customHeight="1">
      <c r="B264" s="20"/>
      <c r="C264" s="20"/>
    </row>
    <row r="265" ht="15.75" customHeight="1">
      <c r="B265" s="20"/>
      <c r="C265" s="20"/>
    </row>
    <row r="266" ht="15.75" customHeight="1">
      <c r="B266" s="20"/>
      <c r="C266" s="20"/>
    </row>
    <row r="267" ht="15.75" customHeight="1">
      <c r="B267" s="20"/>
      <c r="C267" s="20"/>
    </row>
    <row r="268" ht="15.75" customHeight="1">
      <c r="B268" s="20"/>
      <c r="C268" s="20"/>
    </row>
    <row r="269" ht="15.75" customHeight="1">
      <c r="B269" s="20"/>
      <c r="C269" s="20"/>
    </row>
    <row r="270" ht="15.75" customHeight="1">
      <c r="B270" s="20"/>
      <c r="C270" s="20"/>
    </row>
    <row r="271" ht="15.75" customHeight="1">
      <c r="B271" s="20"/>
      <c r="C271" s="20"/>
    </row>
    <row r="272" ht="15.75" customHeight="1">
      <c r="B272" s="20"/>
      <c r="C272" s="20"/>
    </row>
    <row r="273" ht="15.75" customHeight="1">
      <c r="B273" s="20"/>
      <c r="C273" s="20"/>
    </row>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63"/>
    <col customWidth="1" min="2" max="2" width="22.25"/>
  </cols>
  <sheetData>
    <row r="1">
      <c r="A1" s="18"/>
      <c r="B1" s="2"/>
    </row>
    <row r="2" hidden="1">
      <c r="A2" s="18" t="s">
        <v>205</v>
      </c>
      <c r="B2" s="23" t="s">
        <v>17</v>
      </c>
      <c r="C2" s="2">
        <f t="shared" ref="C2:C81" si="1">IFERROR(MATCH($A2,B:B,0), "Not Found")
</f>
        <v>69</v>
      </c>
    </row>
    <row r="3" hidden="1">
      <c r="A3" s="18" t="s">
        <v>212</v>
      </c>
      <c r="B3" s="23" t="s">
        <v>22</v>
      </c>
      <c r="C3" s="2">
        <f t="shared" si="1"/>
        <v>59</v>
      </c>
    </row>
    <row r="4" hidden="1">
      <c r="A4" s="18" t="s">
        <v>79</v>
      </c>
      <c r="B4" s="23" t="s">
        <v>25</v>
      </c>
      <c r="C4" s="2">
        <f t="shared" si="1"/>
        <v>31</v>
      </c>
    </row>
    <row r="5" hidden="1">
      <c r="A5" s="18" t="s">
        <v>133</v>
      </c>
      <c r="B5" s="4" t="s">
        <v>17</v>
      </c>
      <c r="C5" s="2">
        <f t="shared" si="1"/>
        <v>22</v>
      </c>
      <c r="F5" s="23" t="s">
        <v>17</v>
      </c>
    </row>
    <row r="6" hidden="1">
      <c r="A6" s="18" t="s">
        <v>17</v>
      </c>
      <c r="B6" s="6" t="s">
        <v>22</v>
      </c>
      <c r="C6" s="2">
        <f t="shared" si="1"/>
        <v>2</v>
      </c>
      <c r="F6" s="23" t="s">
        <v>22</v>
      </c>
    </row>
    <row r="7" hidden="1">
      <c r="A7" s="18" t="s">
        <v>115</v>
      </c>
      <c r="B7" s="6" t="s">
        <v>25</v>
      </c>
      <c r="C7" s="2">
        <f t="shared" si="1"/>
        <v>37</v>
      </c>
      <c r="F7" s="23" t="s">
        <v>25</v>
      </c>
    </row>
    <row r="8" hidden="1">
      <c r="A8" s="18" t="s">
        <v>200</v>
      </c>
      <c r="B8" s="6" t="s">
        <v>29</v>
      </c>
      <c r="C8" s="2">
        <f t="shared" si="1"/>
        <v>126</v>
      </c>
      <c r="F8" s="23" t="s">
        <v>29</v>
      </c>
    </row>
    <row r="9" hidden="1">
      <c r="A9" s="18" t="s">
        <v>84</v>
      </c>
      <c r="B9" s="23" t="s">
        <v>40</v>
      </c>
      <c r="C9" s="2">
        <f t="shared" si="1"/>
        <v>58</v>
      </c>
    </row>
    <row r="10">
      <c r="A10" s="18" t="s">
        <v>1098</v>
      </c>
      <c r="B10" s="6" t="s">
        <v>32</v>
      </c>
      <c r="C10" s="2">
        <f t="shared" si="1"/>
        <v>18</v>
      </c>
      <c r="F10" s="23" t="s">
        <v>32</v>
      </c>
    </row>
    <row r="11" hidden="1">
      <c r="A11" s="18" t="s">
        <v>210</v>
      </c>
      <c r="B11" s="23" t="s">
        <v>149</v>
      </c>
      <c r="C11" s="2">
        <f t="shared" si="1"/>
        <v>129</v>
      </c>
    </row>
    <row r="12" hidden="1">
      <c r="A12" s="18" t="s">
        <v>198</v>
      </c>
      <c r="B12" s="23" t="s">
        <v>151</v>
      </c>
      <c r="C12" s="2">
        <f t="shared" si="1"/>
        <v>125</v>
      </c>
    </row>
    <row r="13">
      <c r="A13" s="18" t="s">
        <v>121</v>
      </c>
      <c r="B13" s="6" t="s">
        <v>35</v>
      </c>
      <c r="C13" s="2">
        <f t="shared" si="1"/>
        <v>51</v>
      </c>
      <c r="F13" s="23" t="s">
        <v>35</v>
      </c>
    </row>
    <row r="14" hidden="1">
      <c r="A14" s="18" t="s">
        <v>60</v>
      </c>
      <c r="B14" s="23" t="s">
        <v>153</v>
      </c>
      <c r="C14" s="2">
        <f t="shared" si="1"/>
        <v>75</v>
      </c>
    </row>
    <row r="15">
      <c r="A15" s="18" t="s">
        <v>694</v>
      </c>
      <c r="B15" s="6" t="s">
        <v>38</v>
      </c>
      <c r="C15" s="2">
        <f t="shared" si="1"/>
        <v>40</v>
      </c>
      <c r="F15" s="23" t="s">
        <v>38</v>
      </c>
    </row>
    <row r="16">
      <c r="A16" s="18" t="s">
        <v>192</v>
      </c>
      <c r="B16" s="6" t="s">
        <v>40</v>
      </c>
      <c r="C16" s="2">
        <f t="shared" si="1"/>
        <v>122</v>
      </c>
      <c r="F16" s="23" t="s">
        <v>40</v>
      </c>
    </row>
    <row r="17" hidden="1">
      <c r="A17" s="18" t="s">
        <v>146</v>
      </c>
      <c r="B17" s="23" t="s">
        <v>123</v>
      </c>
      <c r="C17" s="2">
        <f t="shared" si="1"/>
        <v>24</v>
      </c>
    </row>
    <row r="18" hidden="1">
      <c r="A18" s="18" t="s">
        <v>161</v>
      </c>
      <c r="B18" s="23" t="s">
        <v>1098</v>
      </c>
      <c r="C18" s="2">
        <f t="shared" si="1"/>
        <v>42</v>
      </c>
    </row>
    <row r="19" hidden="1">
      <c r="A19" s="18" t="s">
        <v>218</v>
      </c>
      <c r="B19" s="23" t="s">
        <v>1099</v>
      </c>
      <c r="C19" s="2">
        <f t="shared" si="1"/>
        <v>27</v>
      </c>
    </row>
    <row r="20" hidden="1">
      <c r="A20" s="18" t="s">
        <v>58</v>
      </c>
      <c r="B20" s="23" t="s">
        <v>129</v>
      </c>
      <c r="C20" s="2">
        <f t="shared" si="1"/>
        <v>80</v>
      </c>
    </row>
    <row r="21" ht="15.75" hidden="1" customHeight="1">
      <c r="A21" s="18" t="s">
        <v>179</v>
      </c>
      <c r="B21" s="23" t="s">
        <v>131</v>
      </c>
      <c r="C21" s="2">
        <f t="shared" si="1"/>
        <v>117</v>
      </c>
    </row>
    <row r="22" ht="15.75" hidden="1" customHeight="1">
      <c r="A22" s="18" t="s">
        <v>38</v>
      </c>
      <c r="B22" s="23" t="s">
        <v>133</v>
      </c>
      <c r="C22" s="2">
        <f t="shared" si="1"/>
        <v>15</v>
      </c>
    </row>
    <row r="23" ht="15.75" hidden="1" customHeight="1">
      <c r="A23" s="18" t="s">
        <v>40</v>
      </c>
      <c r="B23" s="23" t="s">
        <v>135</v>
      </c>
      <c r="C23" s="2">
        <f t="shared" si="1"/>
        <v>9</v>
      </c>
    </row>
    <row r="24" ht="15.75" customHeight="1">
      <c r="A24" s="18" t="s">
        <v>129</v>
      </c>
      <c r="B24" s="6" t="s">
        <v>146</v>
      </c>
      <c r="C24" s="2">
        <f t="shared" si="1"/>
        <v>20</v>
      </c>
      <c r="F24" s="23" t="s">
        <v>146</v>
      </c>
    </row>
    <row r="25" ht="15.75" hidden="1" customHeight="1">
      <c r="A25" s="18" t="s">
        <v>165</v>
      </c>
      <c r="B25" s="23" t="s">
        <v>139</v>
      </c>
      <c r="C25" s="2">
        <f t="shared" si="1"/>
        <v>46</v>
      </c>
    </row>
    <row r="26" ht="15.75" hidden="1" customHeight="1">
      <c r="A26" s="18" t="s">
        <v>158</v>
      </c>
      <c r="B26" s="23" t="s">
        <v>215</v>
      </c>
      <c r="C26" s="2">
        <f t="shared" si="1"/>
        <v>44</v>
      </c>
    </row>
    <row r="27" ht="15.75" hidden="1" customHeight="1">
      <c r="A27" s="18" t="s">
        <v>25</v>
      </c>
      <c r="B27" s="23" t="s">
        <v>218</v>
      </c>
      <c r="C27" s="2">
        <f t="shared" si="1"/>
        <v>4</v>
      </c>
    </row>
    <row r="28" ht="15.75" hidden="1" customHeight="1">
      <c r="A28" s="18" t="s">
        <v>168</v>
      </c>
      <c r="B28" s="23" t="s">
        <v>70</v>
      </c>
      <c r="C28" s="2">
        <f t="shared" si="1"/>
        <v>112</v>
      </c>
    </row>
    <row r="29" ht="15.75" hidden="1" customHeight="1">
      <c r="A29" s="18" t="s">
        <v>70</v>
      </c>
      <c r="B29" s="6" t="s">
        <v>149</v>
      </c>
      <c r="C29" s="2">
        <f t="shared" si="1"/>
        <v>28</v>
      </c>
      <c r="F29" s="23" t="s">
        <v>149</v>
      </c>
    </row>
    <row r="30" ht="15.75" hidden="1" customHeight="1">
      <c r="A30" s="18" t="s">
        <v>304</v>
      </c>
      <c r="B30" s="23" t="s">
        <v>76</v>
      </c>
      <c r="C30" s="2">
        <f t="shared" si="1"/>
        <v>25</v>
      </c>
    </row>
    <row r="31" ht="15.75" hidden="1" customHeight="1">
      <c r="A31" s="18" t="s">
        <v>176</v>
      </c>
      <c r="B31" s="23" t="s">
        <v>79</v>
      </c>
      <c r="C31" s="2">
        <f t="shared" si="1"/>
        <v>116</v>
      </c>
    </row>
    <row r="32" ht="15.75" hidden="1" customHeight="1">
      <c r="A32" s="18" t="s">
        <v>316</v>
      </c>
      <c r="B32" s="23" t="s">
        <v>155</v>
      </c>
      <c r="C32" s="2">
        <f t="shared" si="1"/>
        <v>32</v>
      </c>
    </row>
    <row r="33" ht="15.75" hidden="1" customHeight="1">
      <c r="A33" s="18" t="s">
        <v>366</v>
      </c>
      <c r="B33" s="23" t="s">
        <v>194</v>
      </c>
      <c r="C33" s="2">
        <f t="shared" si="1"/>
        <v>45</v>
      </c>
    </row>
    <row r="34" ht="15.75" hidden="1" customHeight="1">
      <c r="A34" s="18" t="s">
        <v>215</v>
      </c>
      <c r="B34" s="23" t="s">
        <v>196</v>
      </c>
      <c r="C34" s="2">
        <f t="shared" si="1"/>
        <v>26</v>
      </c>
    </row>
    <row r="35" ht="15.75" customHeight="1">
      <c r="A35" s="18" t="s">
        <v>675</v>
      </c>
      <c r="B35" s="6" t="s">
        <v>151</v>
      </c>
      <c r="C35" s="2" t="str">
        <f t="shared" si="1"/>
        <v>Not Found</v>
      </c>
      <c r="F35" s="23" t="s">
        <v>151</v>
      </c>
    </row>
    <row r="36" ht="15.75" customHeight="1">
      <c r="A36" s="18" t="s">
        <v>347</v>
      </c>
      <c r="B36" s="9" t="s">
        <v>111</v>
      </c>
      <c r="C36" s="2" t="str">
        <f t="shared" si="1"/>
        <v>Not Found</v>
      </c>
      <c r="F36" s="23" t="s">
        <v>111</v>
      </c>
    </row>
    <row r="37" ht="15.75" customHeight="1">
      <c r="A37" s="18" t="s">
        <v>188</v>
      </c>
      <c r="B37" s="6" t="s">
        <v>115</v>
      </c>
      <c r="C37" s="2">
        <f t="shared" si="1"/>
        <v>120</v>
      </c>
      <c r="F37" s="23" t="s">
        <v>153</v>
      </c>
    </row>
    <row r="38" ht="15.75" hidden="1" customHeight="1">
      <c r="A38" s="18" t="s">
        <v>141</v>
      </c>
      <c r="B38" s="6" t="s">
        <v>153</v>
      </c>
      <c r="C38" s="2">
        <f t="shared" si="1"/>
        <v>91</v>
      </c>
      <c r="F38" s="23" t="s">
        <v>118</v>
      </c>
    </row>
    <row r="39" ht="15.75" hidden="1" customHeight="1">
      <c r="A39" s="18" t="s">
        <v>111</v>
      </c>
      <c r="B39" s="23" t="s">
        <v>344</v>
      </c>
      <c r="C39" s="2">
        <f t="shared" si="1"/>
        <v>36</v>
      </c>
    </row>
    <row r="40" ht="15.75" hidden="1" customHeight="1">
      <c r="A40" s="18" t="s">
        <v>163</v>
      </c>
      <c r="B40" s="23" t="s">
        <v>694</v>
      </c>
      <c r="C40" s="2">
        <f t="shared" si="1"/>
        <v>43</v>
      </c>
    </row>
    <row r="41" ht="15.75" hidden="1" customHeight="1">
      <c r="A41" s="18" t="s">
        <v>174</v>
      </c>
      <c r="B41" s="23" t="s">
        <v>1100</v>
      </c>
      <c r="C41" s="2">
        <f t="shared" si="1"/>
        <v>50</v>
      </c>
    </row>
    <row r="42" ht="15.75" hidden="1" customHeight="1">
      <c r="A42" s="18" t="s">
        <v>29</v>
      </c>
      <c r="B42" s="23" t="s">
        <v>161</v>
      </c>
      <c r="C42" s="2">
        <f t="shared" si="1"/>
        <v>8</v>
      </c>
    </row>
    <row r="43" ht="15.75" hidden="1" customHeight="1">
      <c r="A43" s="18" t="s">
        <v>196</v>
      </c>
      <c r="B43" s="23" t="s">
        <v>163</v>
      </c>
      <c r="C43" s="2">
        <f t="shared" si="1"/>
        <v>34</v>
      </c>
    </row>
    <row r="44" ht="15.75" hidden="1" customHeight="1">
      <c r="A44" s="18" t="s">
        <v>333</v>
      </c>
      <c r="B44" s="23" t="s">
        <v>158</v>
      </c>
      <c r="C44" s="2">
        <f t="shared" si="1"/>
        <v>86</v>
      </c>
    </row>
    <row r="45" ht="15.75" hidden="1" customHeight="1">
      <c r="A45" s="18" t="s">
        <v>153</v>
      </c>
      <c r="B45" s="23" t="s">
        <v>366</v>
      </c>
      <c r="C45" s="2">
        <f t="shared" si="1"/>
        <v>14</v>
      </c>
    </row>
    <row r="46" ht="15.75" hidden="1" customHeight="1">
      <c r="A46" s="18" t="s">
        <v>209</v>
      </c>
      <c r="B46" s="23" t="s">
        <v>165</v>
      </c>
      <c r="C46" s="2">
        <f t="shared" si="1"/>
        <v>70</v>
      </c>
    </row>
    <row r="47" ht="15.75" customHeight="1">
      <c r="A47" s="18"/>
      <c r="B47" s="6" t="s">
        <v>118</v>
      </c>
      <c r="C47" s="2" t="str">
        <f t="shared" si="1"/>
        <v>Not Found</v>
      </c>
      <c r="F47" s="23" t="s">
        <v>121</v>
      </c>
    </row>
    <row r="48" ht="15.75" hidden="1" customHeight="1">
      <c r="A48" s="18" t="s">
        <v>74</v>
      </c>
      <c r="B48" s="23" t="s">
        <v>170</v>
      </c>
      <c r="C48" s="2">
        <f t="shared" si="1"/>
        <v>88</v>
      </c>
    </row>
    <row r="49" ht="15.75" hidden="1" customHeight="1">
      <c r="A49" s="18" t="s">
        <v>137</v>
      </c>
      <c r="B49" s="23" t="s">
        <v>172</v>
      </c>
      <c r="C49" s="2">
        <f t="shared" si="1"/>
        <v>71</v>
      </c>
    </row>
    <row r="50" ht="15.75" hidden="1" customHeight="1">
      <c r="A50" s="18" t="s">
        <v>22</v>
      </c>
      <c r="B50" s="23" t="s">
        <v>174</v>
      </c>
      <c r="C50" s="2">
        <f t="shared" si="1"/>
        <v>3</v>
      </c>
    </row>
    <row r="51" ht="15.75" hidden="1" customHeight="1">
      <c r="A51" s="18" t="s">
        <v>111</v>
      </c>
      <c r="B51" s="6" t="s">
        <v>121</v>
      </c>
      <c r="C51" s="2">
        <f t="shared" si="1"/>
        <v>36</v>
      </c>
      <c r="F51" s="23" t="s">
        <v>123</v>
      </c>
    </row>
    <row r="52" ht="15.75" customHeight="1">
      <c r="A52" s="18" t="s">
        <v>1101</v>
      </c>
      <c r="B52" s="6" t="s">
        <v>123</v>
      </c>
      <c r="C52" s="2" t="str">
        <f t="shared" si="1"/>
        <v>Not Found</v>
      </c>
      <c r="F52" s="23" t="s">
        <v>1098</v>
      </c>
    </row>
    <row r="53" ht="15.75" hidden="1" customHeight="1">
      <c r="A53" s="18" t="s">
        <v>63</v>
      </c>
      <c r="B53" s="23" t="s">
        <v>1102</v>
      </c>
      <c r="C53" s="2">
        <f t="shared" si="1"/>
        <v>83</v>
      </c>
    </row>
    <row r="54" ht="15.75" hidden="1" customHeight="1">
      <c r="A54" s="18" t="s">
        <v>53</v>
      </c>
      <c r="B54" s="23" t="s">
        <v>43</v>
      </c>
      <c r="C54" s="2">
        <f t="shared" si="1"/>
        <v>77</v>
      </c>
    </row>
    <row r="55" ht="15.75" hidden="1" customHeight="1">
      <c r="A55" s="18" t="s">
        <v>170</v>
      </c>
      <c r="B55" s="23" t="s">
        <v>47</v>
      </c>
      <c r="C55" s="2">
        <f t="shared" si="1"/>
        <v>48</v>
      </c>
    </row>
    <row r="56" ht="15.75" hidden="1" customHeight="1">
      <c r="A56" s="18" t="s">
        <v>149</v>
      </c>
      <c r="B56" s="23" t="s">
        <v>50</v>
      </c>
      <c r="C56" s="2">
        <f t="shared" si="1"/>
        <v>11</v>
      </c>
    </row>
    <row r="57" ht="15.75" hidden="1" customHeight="1">
      <c r="A57" s="18" t="s">
        <v>76</v>
      </c>
      <c r="B57" s="23" t="s">
        <v>144</v>
      </c>
      <c r="C57" s="2">
        <f t="shared" si="1"/>
        <v>30</v>
      </c>
    </row>
    <row r="58" ht="15.75" hidden="1" customHeight="1">
      <c r="A58" s="18" t="s">
        <v>118</v>
      </c>
      <c r="B58" s="23" t="s">
        <v>84</v>
      </c>
      <c r="C58" s="2">
        <f t="shared" si="1"/>
        <v>47</v>
      </c>
    </row>
    <row r="59" ht="15.75" hidden="1" customHeight="1">
      <c r="A59" s="18" t="s">
        <v>194</v>
      </c>
      <c r="B59" s="23" t="s">
        <v>212</v>
      </c>
      <c r="C59" s="2">
        <f t="shared" si="1"/>
        <v>33</v>
      </c>
    </row>
    <row r="60" ht="15.75" customHeight="1">
      <c r="A60" s="18" t="s">
        <v>391</v>
      </c>
      <c r="B60" s="6" t="s">
        <v>1098</v>
      </c>
      <c r="C60" s="2" t="str">
        <f t="shared" si="1"/>
        <v>Not Found</v>
      </c>
      <c r="F60" s="23" t="s">
        <v>1099</v>
      </c>
    </row>
    <row r="61" ht="15.75" customHeight="1">
      <c r="A61" s="18" t="s">
        <v>190</v>
      </c>
      <c r="B61" s="6" t="s">
        <v>1099</v>
      </c>
      <c r="C61" s="2">
        <f t="shared" si="1"/>
        <v>121</v>
      </c>
      <c r="F61" s="23" t="s">
        <v>129</v>
      </c>
    </row>
    <row r="62" ht="15.75" customHeight="1">
      <c r="A62" s="18" t="s">
        <v>1103</v>
      </c>
      <c r="B62" s="6" t="s">
        <v>129</v>
      </c>
      <c r="C62" s="2" t="str">
        <f t="shared" si="1"/>
        <v>Not Found</v>
      </c>
      <c r="F62" s="23" t="s">
        <v>131</v>
      </c>
    </row>
    <row r="63" ht="15.75" hidden="1" customHeight="1">
      <c r="A63" s="18" t="s">
        <v>32</v>
      </c>
      <c r="B63" s="23" t="s">
        <v>96</v>
      </c>
      <c r="C63" s="2">
        <f t="shared" si="1"/>
        <v>10</v>
      </c>
    </row>
    <row r="64" ht="15.75" hidden="1" customHeight="1">
      <c r="A64" s="18" t="s">
        <v>70</v>
      </c>
      <c r="B64" s="23" t="s">
        <v>99</v>
      </c>
      <c r="C64" s="2">
        <f t="shared" si="1"/>
        <v>28</v>
      </c>
    </row>
    <row r="65" ht="15.75" customHeight="1">
      <c r="A65" s="18" t="s">
        <v>1104</v>
      </c>
      <c r="B65" s="6" t="s">
        <v>131</v>
      </c>
      <c r="C65" s="2" t="str">
        <f t="shared" si="1"/>
        <v>Not Found</v>
      </c>
      <c r="F65" s="23" t="s">
        <v>133</v>
      </c>
    </row>
    <row r="66" ht="15.75" customHeight="1">
      <c r="A66" s="18" t="s">
        <v>1105</v>
      </c>
      <c r="B66" s="6" t="s">
        <v>133</v>
      </c>
      <c r="C66" s="2" t="str">
        <f t="shared" si="1"/>
        <v>Not Found</v>
      </c>
      <c r="F66" s="23" t="s">
        <v>135</v>
      </c>
    </row>
    <row r="67" ht="15.75" customHeight="1">
      <c r="A67" s="18" t="s">
        <v>1106</v>
      </c>
      <c r="B67" s="6" t="s">
        <v>135</v>
      </c>
      <c r="C67" s="2" t="str">
        <f t="shared" si="1"/>
        <v>Not Found</v>
      </c>
      <c r="F67" s="23" t="s">
        <v>137</v>
      </c>
    </row>
    <row r="68" ht="15.75" hidden="1" customHeight="1">
      <c r="A68" s="18" t="s">
        <v>66</v>
      </c>
      <c r="B68" s="23" t="s">
        <v>158</v>
      </c>
      <c r="C68" s="2">
        <f t="shared" si="1"/>
        <v>84</v>
      </c>
    </row>
    <row r="69" ht="15.75" hidden="1" customHeight="1">
      <c r="A69" s="18" t="s">
        <v>56</v>
      </c>
      <c r="B69" s="23" t="s">
        <v>205</v>
      </c>
      <c r="C69" s="2">
        <f t="shared" si="1"/>
        <v>73</v>
      </c>
    </row>
    <row r="70" ht="15.75" hidden="1" customHeight="1">
      <c r="A70" s="18" t="s">
        <v>35</v>
      </c>
      <c r="B70" s="23" t="s">
        <v>209</v>
      </c>
      <c r="C70" s="2">
        <f t="shared" si="1"/>
        <v>13</v>
      </c>
    </row>
    <row r="71" ht="15.75" customHeight="1">
      <c r="A71" s="18" t="s">
        <v>1107</v>
      </c>
      <c r="B71" s="6" t="s">
        <v>137</v>
      </c>
      <c r="C71" s="2" t="str">
        <f t="shared" si="1"/>
        <v>Not Found</v>
      </c>
      <c r="F71" s="23" t="s">
        <v>139</v>
      </c>
    </row>
    <row r="72" ht="15.75" customHeight="1">
      <c r="A72" s="18" t="s">
        <v>1108</v>
      </c>
      <c r="B72" s="6" t="s">
        <v>139</v>
      </c>
      <c r="C72" s="2" t="str">
        <f t="shared" si="1"/>
        <v>Not Found</v>
      </c>
      <c r="F72" s="23" t="s">
        <v>215</v>
      </c>
    </row>
    <row r="73" ht="15.75" hidden="1" customHeight="1">
      <c r="A73" s="18" t="s">
        <v>108</v>
      </c>
      <c r="B73" s="23" t="s">
        <v>56</v>
      </c>
      <c r="C73" s="2">
        <f t="shared" si="1"/>
        <v>107</v>
      </c>
    </row>
    <row r="74" ht="15.75" customHeight="1">
      <c r="A74" s="18" t="s">
        <v>1109</v>
      </c>
      <c r="B74" s="6" t="s">
        <v>215</v>
      </c>
      <c r="C74" s="2" t="str">
        <f t="shared" si="1"/>
        <v>Not Found</v>
      </c>
      <c r="F74" s="23" t="s">
        <v>218</v>
      </c>
    </row>
    <row r="75" ht="15.75" hidden="1" customHeight="1">
      <c r="A75" s="18" t="s">
        <v>151</v>
      </c>
      <c r="B75" s="23" t="s">
        <v>60</v>
      </c>
      <c r="C75" s="2">
        <f t="shared" si="1"/>
        <v>12</v>
      </c>
    </row>
    <row r="76" ht="15.75" customHeight="1">
      <c r="A76" s="18" t="s">
        <v>1110</v>
      </c>
      <c r="B76" s="6" t="s">
        <v>218</v>
      </c>
      <c r="C76" s="2" t="str">
        <f t="shared" si="1"/>
        <v>Not Found</v>
      </c>
      <c r="F76" s="23" t="s">
        <v>70</v>
      </c>
    </row>
    <row r="77" ht="15.75" customHeight="1">
      <c r="A77" s="18" t="s">
        <v>1111</v>
      </c>
      <c r="B77" s="6" t="s">
        <v>53</v>
      </c>
      <c r="C77" s="2" t="str">
        <f t="shared" si="1"/>
        <v>Not Found</v>
      </c>
      <c r="F77" s="23" t="s">
        <v>74</v>
      </c>
    </row>
    <row r="78" ht="15.75" hidden="1" customHeight="1">
      <c r="A78" s="18" t="s">
        <v>331</v>
      </c>
      <c r="B78" s="23" t="s">
        <v>331</v>
      </c>
      <c r="C78" s="2">
        <f t="shared" si="1"/>
        <v>78</v>
      </c>
    </row>
    <row r="79" ht="15.75" customHeight="1">
      <c r="A79" s="18" t="s">
        <v>894</v>
      </c>
      <c r="B79" s="6" t="s">
        <v>56</v>
      </c>
      <c r="C79" s="2" t="str">
        <f t="shared" si="1"/>
        <v>Not Found</v>
      </c>
      <c r="F79" s="23" t="s">
        <v>76</v>
      </c>
    </row>
    <row r="80" ht="15.75" customHeight="1">
      <c r="A80" s="18" t="s">
        <v>1112</v>
      </c>
      <c r="B80" s="6" t="s">
        <v>58</v>
      </c>
      <c r="C80" s="2" t="str">
        <f t="shared" si="1"/>
        <v>Not Found</v>
      </c>
      <c r="F80" s="23" t="s">
        <v>79</v>
      </c>
    </row>
    <row r="81" ht="151.5" customHeight="1">
      <c r="A81" s="18" t="s">
        <v>1113</v>
      </c>
      <c r="B81" s="6" t="s">
        <v>60</v>
      </c>
      <c r="C81" s="2" t="str">
        <f t="shared" si="1"/>
        <v>Not Found</v>
      </c>
      <c r="F81" s="23" t="s">
        <v>155</v>
      </c>
    </row>
    <row r="82" ht="15.75" hidden="1" customHeight="1">
      <c r="A82" s="18" t="s">
        <v>1114</v>
      </c>
    </row>
    <row r="83" ht="15.75" hidden="1" customHeight="1">
      <c r="B83" s="6" t="s">
        <v>63</v>
      </c>
      <c r="F83" s="23" t="s">
        <v>194</v>
      </c>
    </row>
    <row r="84" ht="15.75" hidden="1" customHeight="1">
      <c r="B84" s="6" t="s">
        <v>66</v>
      </c>
      <c r="F84" s="23" t="s">
        <v>196</v>
      </c>
    </row>
    <row r="85" ht="15.75" hidden="1" customHeight="1">
      <c r="B85" s="6" t="s">
        <v>68</v>
      </c>
      <c r="F85" s="23" t="s">
        <v>198</v>
      </c>
    </row>
    <row r="86" ht="15.75" hidden="1" customHeight="1">
      <c r="B86" s="6" t="s">
        <v>333</v>
      </c>
      <c r="F86" s="23" t="s">
        <v>188</v>
      </c>
    </row>
    <row r="87" ht="15.75" hidden="1" customHeight="1">
      <c r="B87" s="6" t="s">
        <v>70</v>
      </c>
      <c r="F87" s="23" t="s">
        <v>190</v>
      </c>
    </row>
    <row r="88" ht="15.75" hidden="1" customHeight="1">
      <c r="B88" s="6" t="s">
        <v>74</v>
      </c>
      <c r="F88" s="23" t="s">
        <v>192</v>
      </c>
    </row>
    <row r="89" ht="15.75" hidden="1" customHeight="1">
      <c r="B89" s="6" t="s">
        <v>76</v>
      </c>
      <c r="F89" s="23" t="s">
        <v>344</v>
      </c>
    </row>
    <row r="90" ht="15.75" hidden="1" customHeight="1">
      <c r="B90" s="6" t="s">
        <v>79</v>
      </c>
      <c r="F90" s="23" t="s">
        <v>694</v>
      </c>
    </row>
    <row r="91" ht="15.75" hidden="1" customHeight="1">
      <c r="B91" s="6" t="s">
        <v>141</v>
      </c>
      <c r="F91" s="23" t="s">
        <v>1100</v>
      </c>
    </row>
    <row r="92" ht="15.75" hidden="1" customHeight="1">
      <c r="B92" s="6" t="s">
        <v>81</v>
      </c>
      <c r="F92" s="23" t="s">
        <v>161</v>
      </c>
    </row>
    <row r="93" ht="15.75" hidden="1" customHeight="1">
      <c r="B93" s="6" t="s">
        <v>43</v>
      </c>
      <c r="F93" s="23" t="s">
        <v>163</v>
      </c>
    </row>
    <row r="94" ht="15.75" hidden="1" customHeight="1">
      <c r="B94" s="6" t="s">
        <v>47</v>
      </c>
      <c r="F94" s="23" t="s">
        <v>158</v>
      </c>
    </row>
    <row r="95" ht="15.75" hidden="1" customHeight="1">
      <c r="B95" s="6" t="s">
        <v>50</v>
      </c>
      <c r="F95" s="23" t="s">
        <v>366</v>
      </c>
    </row>
    <row r="96" ht="15.75" hidden="1" customHeight="1">
      <c r="B96" s="6" t="s">
        <v>144</v>
      </c>
      <c r="F96" s="23" t="s">
        <v>165</v>
      </c>
    </row>
    <row r="97" ht="15.75" hidden="1" customHeight="1">
      <c r="B97" s="6" t="s">
        <v>155</v>
      </c>
      <c r="F97" s="23" t="s">
        <v>168</v>
      </c>
    </row>
    <row r="98" ht="15.75" hidden="1" customHeight="1">
      <c r="B98" s="6" t="s">
        <v>84</v>
      </c>
      <c r="F98" s="23" t="s">
        <v>170</v>
      </c>
    </row>
    <row r="99" ht="15.75" hidden="1" customHeight="1">
      <c r="B99" s="6" t="s">
        <v>212</v>
      </c>
      <c r="F99" s="23" t="s">
        <v>172</v>
      </c>
    </row>
    <row r="100" ht="15.75" hidden="1" customHeight="1">
      <c r="B100" s="6" t="s">
        <v>87</v>
      </c>
      <c r="F100" s="23" t="s">
        <v>174</v>
      </c>
    </row>
    <row r="101" ht="15.75" hidden="1" customHeight="1">
      <c r="B101" s="6" t="s">
        <v>90</v>
      </c>
      <c r="F101" s="23" t="s">
        <v>176</v>
      </c>
    </row>
    <row r="102" ht="15.75" hidden="1" customHeight="1">
      <c r="B102" s="6" t="s">
        <v>93</v>
      </c>
      <c r="F102" s="23" t="s">
        <v>179</v>
      </c>
    </row>
    <row r="103" ht="15.75" hidden="1" customHeight="1">
      <c r="B103" s="6" t="s">
        <v>96</v>
      </c>
      <c r="F103" s="23" t="s">
        <v>1102</v>
      </c>
    </row>
    <row r="104" ht="15.75" hidden="1" customHeight="1">
      <c r="B104" s="6" t="s">
        <v>99</v>
      </c>
      <c r="F104" s="23" t="s">
        <v>43</v>
      </c>
    </row>
    <row r="105" ht="15.75" hidden="1" customHeight="1">
      <c r="B105" s="6" t="s">
        <v>102</v>
      </c>
      <c r="F105" s="23" t="s">
        <v>47</v>
      </c>
    </row>
    <row r="106" ht="15.75" hidden="1" customHeight="1">
      <c r="B106" s="6" t="s">
        <v>105</v>
      </c>
      <c r="F106" s="23" t="s">
        <v>50</v>
      </c>
    </row>
    <row r="107" ht="15.75" hidden="1" customHeight="1">
      <c r="B107" s="6" t="s">
        <v>108</v>
      </c>
      <c r="F107" s="23" t="s">
        <v>144</v>
      </c>
    </row>
    <row r="108" ht="15.75" hidden="1" customHeight="1">
      <c r="B108" s="6" t="s">
        <v>158</v>
      </c>
      <c r="F108" s="23" t="s">
        <v>84</v>
      </c>
    </row>
    <row r="109" ht="15.75" hidden="1" customHeight="1">
      <c r="B109" s="6" t="s">
        <v>161</v>
      </c>
      <c r="F109" s="23" t="s">
        <v>212</v>
      </c>
    </row>
    <row r="110" ht="15.75" hidden="1" customHeight="1">
      <c r="B110" s="6" t="s">
        <v>163</v>
      </c>
      <c r="F110" s="23" t="s">
        <v>87</v>
      </c>
    </row>
    <row r="111" ht="15.75" hidden="1" customHeight="1">
      <c r="B111" s="6" t="s">
        <v>165</v>
      </c>
      <c r="F111" s="23" t="s">
        <v>90</v>
      </c>
    </row>
    <row r="112" ht="15.75" hidden="1" customHeight="1">
      <c r="B112" s="6" t="s">
        <v>168</v>
      </c>
      <c r="F112" s="23" t="s">
        <v>93</v>
      </c>
    </row>
    <row r="113" ht="15.75" hidden="1" customHeight="1">
      <c r="B113" s="6" t="s">
        <v>170</v>
      </c>
      <c r="F113" s="23" t="s">
        <v>96</v>
      </c>
    </row>
    <row r="114" ht="15.75" hidden="1" customHeight="1">
      <c r="B114" s="6" t="s">
        <v>172</v>
      </c>
      <c r="F114" s="23" t="s">
        <v>99</v>
      </c>
    </row>
    <row r="115" ht="15.75" hidden="1" customHeight="1">
      <c r="B115" s="6" t="s">
        <v>174</v>
      </c>
      <c r="F115" s="23" t="s">
        <v>102</v>
      </c>
    </row>
    <row r="116" ht="15.75" hidden="1" customHeight="1">
      <c r="B116" s="6" t="s">
        <v>176</v>
      </c>
      <c r="F116" s="23" t="s">
        <v>1115</v>
      </c>
    </row>
    <row r="117" ht="15.75" hidden="1" customHeight="1">
      <c r="B117" s="6" t="s">
        <v>179</v>
      </c>
      <c r="F117" s="23" t="s">
        <v>108</v>
      </c>
    </row>
    <row r="118" ht="15.75" hidden="1" customHeight="1">
      <c r="B118" s="6" t="s">
        <v>183</v>
      </c>
      <c r="F118" s="23" t="s">
        <v>158</v>
      </c>
    </row>
    <row r="119" ht="15.75" hidden="1" customHeight="1">
      <c r="B119" s="6" t="s">
        <v>186</v>
      </c>
      <c r="F119" s="23" t="s">
        <v>205</v>
      </c>
    </row>
    <row r="120" ht="15.75" hidden="1" customHeight="1">
      <c r="B120" s="6" t="s">
        <v>188</v>
      </c>
      <c r="F120" s="23" t="s">
        <v>209</v>
      </c>
    </row>
    <row r="121" ht="15.75" hidden="1" customHeight="1">
      <c r="B121" s="6" t="s">
        <v>190</v>
      </c>
      <c r="F121" s="23" t="s">
        <v>210</v>
      </c>
    </row>
    <row r="122" ht="15.75" hidden="1" customHeight="1">
      <c r="B122" s="6" t="s">
        <v>192</v>
      </c>
      <c r="F122" s="23" t="s">
        <v>53</v>
      </c>
    </row>
    <row r="123" ht="15.75" hidden="1" customHeight="1">
      <c r="B123" s="6" t="s">
        <v>194</v>
      </c>
      <c r="F123" s="23" t="s">
        <v>56</v>
      </c>
    </row>
    <row r="124" ht="15.75" hidden="1" customHeight="1">
      <c r="B124" s="6" t="s">
        <v>196</v>
      </c>
      <c r="F124" s="23" t="s">
        <v>58</v>
      </c>
    </row>
    <row r="125" ht="15.75" hidden="1" customHeight="1">
      <c r="B125" s="6" t="s">
        <v>198</v>
      </c>
      <c r="F125" s="23" t="s">
        <v>60</v>
      </c>
    </row>
    <row r="126" ht="15.75" hidden="1" customHeight="1">
      <c r="B126" s="6" t="s">
        <v>200</v>
      </c>
      <c r="F126" s="23" t="s">
        <v>63</v>
      </c>
    </row>
    <row r="127" ht="15.75" hidden="1" customHeight="1">
      <c r="B127" s="6" t="s">
        <v>205</v>
      </c>
      <c r="F127" s="23" t="s">
        <v>66</v>
      </c>
    </row>
    <row r="128" ht="15.75" hidden="1" customHeight="1">
      <c r="B128" s="6" t="s">
        <v>209</v>
      </c>
      <c r="F128" s="23" t="s">
        <v>331</v>
      </c>
    </row>
    <row r="129" ht="15.75" hidden="1" customHeight="1">
      <c r="B129" s="6" t="s">
        <v>210</v>
      </c>
      <c r="F129" s="23" t="s">
        <v>333</v>
      </c>
    </row>
    <row r="130" ht="15.75" hidden="1" customHeight="1">
      <c r="F130" s="23" t="s">
        <v>186</v>
      </c>
    </row>
    <row r="131" ht="15.75" hidden="1" customHeight="1">
      <c r="F131" s="23" t="s">
        <v>1116</v>
      </c>
    </row>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131">
    <filterColumn colId="2">
      <filters>
        <filter val="51"/>
        <filter val="18"/>
        <filter val="120"/>
        <filter val="121"/>
        <filter val="122"/>
        <filter val="20"/>
        <filter val="Not Found"/>
        <filter val="40"/>
      </filters>
    </filterColumn>
  </autoFilter>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6.63"/>
    <col customWidth="1" min="2" max="2" width="29.63"/>
    <col customWidth="1" min="3" max="3" width="24.5"/>
  </cols>
  <sheetData>
    <row r="2">
      <c r="A2" s="24" t="s">
        <v>1117</v>
      </c>
      <c r="B2" s="24" t="s">
        <v>1118</v>
      </c>
      <c r="C2" s="24" t="s">
        <v>1119</v>
      </c>
      <c r="D2" s="24" t="s">
        <v>1120</v>
      </c>
      <c r="E2" s="24" t="s">
        <v>1121</v>
      </c>
      <c r="H2" s="2" t="s">
        <v>19</v>
      </c>
    </row>
    <row r="3">
      <c r="A3" s="25" t="s">
        <v>1122</v>
      </c>
      <c r="B3" s="25" t="s">
        <v>1123</v>
      </c>
      <c r="C3" s="25" t="s">
        <v>1123</v>
      </c>
      <c r="D3" s="25" t="s">
        <v>1124</v>
      </c>
      <c r="E3" s="25"/>
      <c r="H3" s="2" t="s">
        <v>45</v>
      </c>
    </row>
    <row r="4">
      <c r="A4" s="25" t="s">
        <v>1125</v>
      </c>
      <c r="B4" s="25" t="s">
        <v>1126</v>
      </c>
      <c r="C4" s="25" t="s">
        <v>1126</v>
      </c>
      <c r="D4" s="25" t="s">
        <v>1124</v>
      </c>
      <c r="E4" s="25"/>
      <c r="H4" s="2" t="s">
        <v>54</v>
      </c>
    </row>
    <row r="5">
      <c r="A5" s="25" t="s">
        <v>1127</v>
      </c>
      <c r="B5" s="25" t="s">
        <v>1128</v>
      </c>
      <c r="C5" s="25" t="s">
        <v>1129</v>
      </c>
      <c r="D5" s="25" t="s">
        <v>36</v>
      </c>
      <c r="E5" s="25" t="s">
        <v>1130</v>
      </c>
      <c r="H5" s="2" t="s">
        <v>72</v>
      </c>
    </row>
    <row r="6">
      <c r="A6" s="25" t="s">
        <v>1131</v>
      </c>
      <c r="B6" s="25" t="s">
        <v>1132</v>
      </c>
      <c r="C6" s="25" t="s">
        <v>1133</v>
      </c>
      <c r="D6" s="25" t="s">
        <v>1134</v>
      </c>
      <c r="E6" s="25"/>
      <c r="H6" s="2" t="s">
        <v>88</v>
      </c>
    </row>
    <row r="7">
      <c r="A7" s="25" t="s">
        <v>25</v>
      </c>
      <c r="B7" s="25" t="s">
        <v>1135</v>
      </c>
      <c r="C7" s="25" t="s">
        <v>1136</v>
      </c>
      <c r="D7" s="25" t="s">
        <v>26</v>
      </c>
      <c r="E7" s="25" t="s">
        <v>1137</v>
      </c>
      <c r="H7" s="2" t="s">
        <v>113</v>
      </c>
    </row>
    <row r="8">
      <c r="A8" s="25" t="s">
        <v>1138</v>
      </c>
      <c r="B8" s="25" t="s">
        <v>1139</v>
      </c>
      <c r="C8" s="25" t="s">
        <v>1139</v>
      </c>
      <c r="D8" s="25" t="s">
        <v>26</v>
      </c>
      <c r="E8" s="25"/>
      <c r="H8" s="2" t="s">
        <v>147</v>
      </c>
    </row>
    <row r="9">
      <c r="A9" s="25" t="s">
        <v>1140</v>
      </c>
      <c r="B9" s="25" t="s">
        <v>1139</v>
      </c>
      <c r="C9" s="25" t="s">
        <v>1139</v>
      </c>
      <c r="D9" s="25"/>
      <c r="E9" s="25" t="s">
        <v>1141</v>
      </c>
      <c r="H9" s="2" t="s">
        <v>156</v>
      </c>
    </row>
    <row r="10">
      <c r="A10" s="25" t="s">
        <v>1142</v>
      </c>
      <c r="B10" s="25" t="s">
        <v>1143</v>
      </c>
      <c r="C10" s="25" t="s">
        <v>1143</v>
      </c>
      <c r="D10" s="25" t="s">
        <v>1144</v>
      </c>
      <c r="E10" s="25" t="s">
        <v>1145</v>
      </c>
      <c r="H10" s="2" t="s">
        <v>184</v>
      </c>
    </row>
    <row r="11">
      <c r="A11" s="25" t="s">
        <v>1146</v>
      </c>
      <c r="B11" s="25" t="s">
        <v>1147</v>
      </c>
      <c r="C11" s="25" t="s">
        <v>1147</v>
      </c>
      <c r="D11" s="25" t="s">
        <v>1148</v>
      </c>
      <c r="E11" s="25"/>
      <c r="H11" s="2" t="s">
        <v>203</v>
      </c>
    </row>
    <row r="12">
      <c r="A12" s="25" t="s">
        <v>1149</v>
      </c>
      <c r="B12" s="25" t="s">
        <v>1150</v>
      </c>
      <c r="C12" s="25" t="s">
        <v>1150</v>
      </c>
      <c r="D12" s="25" t="s">
        <v>36</v>
      </c>
      <c r="E12" s="25" t="s">
        <v>1151</v>
      </c>
      <c r="H12" s="2" t="s">
        <v>216</v>
      </c>
    </row>
    <row r="13">
      <c r="A13" s="25" t="s">
        <v>1152</v>
      </c>
      <c r="B13" s="25" t="s">
        <v>1153</v>
      </c>
      <c r="C13" s="25" t="s">
        <v>1153</v>
      </c>
      <c r="D13" s="25" t="s">
        <v>26</v>
      </c>
      <c r="E13" s="25"/>
    </row>
    <row r="14">
      <c r="A14" s="25" t="s">
        <v>1154</v>
      </c>
      <c r="B14" s="25" t="s">
        <v>1155</v>
      </c>
      <c r="C14" s="25" t="s">
        <v>1155</v>
      </c>
      <c r="D14" s="25" t="s">
        <v>1144</v>
      </c>
      <c r="E14" s="25"/>
    </row>
    <row r="15">
      <c r="A15" s="25" t="s">
        <v>1156</v>
      </c>
      <c r="B15" s="25" t="s">
        <v>1157</v>
      </c>
      <c r="C15" s="25" t="s">
        <v>1157</v>
      </c>
      <c r="D15" s="25" t="s">
        <v>1158</v>
      </c>
      <c r="E15" s="25"/>
    </row>
    <row r="16">
      <c r="A16" s="25" t="s">
        <v>1159</v>
      </c>
      <c r="B16" s="25" t="s">
        <v>1160</v>
      </c>
      <c r="C16" s="25" t="s">
        <v>1160</v>
      </c>
      <c r="D16" s="25" t="s">
        <v>26</v>
      </c>
      <c r="E16" s="25"/>
    </row>
    <row r="17">
      <c r="A17" s="25" t="s">
        <v>1161</v>
      </c>
      <c r="B17" s="25" t="s">
        <v>1162</v>
      </c>
      <c r="C17" s="25" t="s">
        <v>1162</v>
      </c>
      <c r="D17" s="25" t="s">
        <v>1144</v>
      </c>
      <c r="E17" s="25"/>
    </row>
    <row r="18">
      <c r="A18" s="25" t="s">
        <v>1163</v>
      </c>
      <c r="B18" s="25" t="s">
        <v>1164</v>
      </c>
      <c r="C18" s="25" t="s">
        <v>1164</v>
      </c>
      <c r="D18" s="25" t="s">
        <v>26</v>
      </c>
      <c r="E18" s="25"/>
    </row>
    <row r="19">
      <c r="A19" s="25" t="s">
        <v>1165</v>
      </c>
      <c r="B19" s="25" t="s">
        <v>1123</v>
      </c>
      <c r="C19" s="25" t="s">
        <v>1123</v>
      </c>
      <c r="D19" s="25"/>
      <c r="E19" s="25"/>
    </row>
    <row r="20">
      <c r="A20" s="25" t="s">
        <v>1166</v>
      </c>
      <c r="B20" s="25" t="s">
        <v>1167</v>
      </c>
      <c r="C20" s="25" t="s">
        <v>1167</v>
      </c>
      <c r="D20" s="25"/>
      <c r="E20" s="25"/>
    </row>
    <row r="21" ht="15.75" customHeight="1">
      <c r="A21" s="25" t="s">
        <v>1168</v>
      </c>
      <c r="B21" s="25" t="s">
        <v>1169</v>
      </c>
      <c r="C21" s="25" t="s">
        <v>1169</v>
      </c>
      <c r="D21" s="25" t="s">
        <v>26</v>
      </c>
      <c r="E21" s="25"/>
    </row>
    <row r="22" ht="15.75" customHeight="1">
      <c r="A22" s="25" t="s">
        <v>146</v>
      </c>
      <c r="B22" s="25" t="s">
        <v>1170</v>
      </c>
      <c r="C22" s="25" t="s">
        <v>1170</v>
      </c>
      <c r="D22" s="25" t="s">
        <v>1171</v>
      </c>
      <c r="E22" s="25"/>
    </row>
    <row r="23" ht="15.75" customHeight="1">
      <c r="A23" s="25" t="s">
        <v>1172</v>
      </c>
      <c r="B23" s="25" t="s">
        <v>1173</v>
      </c>
      <c r="C23" s="25" t="s">
        <v>1173</v>
      </c>
      <c r="D23" s="25" t="s">
        <v>1171</v>
      </c>
      <c r="E23" s="25"/>
    </row>
    <row r="24" ht="15.75" customHeight="1">
      <c r="A24" s="25" t="s">
        <v>151</v>
      </c>
      <c r="B24" s="25" t="s">
        <v>1174</v>
      </c>
      <c r="C24" s="25" t="s">
        <v>1174</v>
      </c>
      <c r="D24" s="25" t="s">
        <v>26</v>
      </c>
      <c r="E24" s="25"/>
    </row>
    <row r="25" ht="15.75" customHeight="1">
      <c r="A25" s="25" t="s">
        <v>153</v>
      </c>
      <c r="B25" s="25" t="s">
        <v>1175</v>
      </c>
      <c r="C25" s="25" t="s">
        <v>1175</v>
      </c>
      <c r="D25" s="25" t="s">
        <v>91</v>
      </c>
      <c r="E25" s="25"/>
    </row>
    <row r="26" ht="15.75" customHeight="1">
      <c r="A26" s="25" t="s">
        <v>1176</v>
      </c>
      <c r="B26" s="25" t="s">
        <v>1177</v>
      </c>
      <c r="C26" s="25" t="s">
        <v>1177</v>
      </c>
      <c r="D26" s="25" t="s">
        <v>1158</v>
      </c>
      <c r="E26" s="25"/>
    </row>
    <row r="27" ht="15.75" customHeight="1">
      <c r="A27" s="25" t="s">
        <v>1178</v>
      </c>
      <c r="B27" s="25" t="s">
        <v>1179</v>
      </c>
      <c r="C27" s="25" t="s">
        <v>1179</v>
      </c>
      <c r="D27" s="25" t="s">
        <v>1158</v>
      </c>
      <c r="E27" s="25"/>
    </row>
    <row r="28" ht="15.75" customHeight="1">
      <c r="A28" s="25" t="s">
        <v>1180</v>
      </c>
      <c r="B28" s="25" t="s">
        <v>1181</v>
      </c>
      <c r="C28" s="25" t="s">
        <v>1181</v>
      </c>
      <c r="D28" s="25" t="s">
        <v>1158</v>
      </c>
      <c r="E28" s="25"/>
    </row>
    <row r="29" ht="15.75" customHeight="1">
      <c r="A29" s="25" t="s">
        <v>1182</v>
      </c>
      <c r="B29" s="25" t="s">
        <v>1183</v>
      </c>
      <c r="C29" s="25" t="s">
        <v>1183</v>
      </c>
      <c r="D29" s="25"/>
      <c r="E29" s="25"/>
    </row>
    <row r="30" ht="15.75" customHeight="1">
      <c r="A30" s="25" t="s">
        <v>1184</v>
      </c>
      <c r="B30" s="25" t="s">
        <v>1185</v>
      </c>
      <c r="C30" s="25" t="s">
        <v>1185</v>
      </c>
      <c r="D30" s="25"/>
      <c r="E30" s="25"/>
    </row>
    <row r="31" ht="15.75" customHeight="1">
      <c r="A31" s="25" t="s">
        <v>1186</v>
      </c>
      <c r="B31" s="25" t="s">
        <v>1187</v>
      </c>
      <c r="C31" s="25" t="s">
        <v>1187</v>
      </c>
      <c r="D31" s="25" t="s">
        <v>1158</v>
      </c>
      <c r="E31" s="25"/>
    </row>
    <row r="32" ht="15.75" customHeight="1">
      <c r="A32" s="25" t="s">
        <v>1188</v>
      </c>
      <c r="B32" s="25" t="s">
        <v>1189</v>
      </c>
      <c r="C32" s="25" t="s">
        <v>1189</v>
      </c>
      <c r="D32" s="25" t="s">
        <v>1158</v>
      </c>
      <c r="E32" s="25"/>
    </row>
    <row r="33" ht="15.75" customHeight="1">
      <c r="A33" s="25" t="s">
        <v>1190</v>
      </c>
      <c r="B33" s="25" t="s">
        <v>1191</v>
      </c>
      <c r="C33" s="25" t="s">
        <v>1191</v>
      </c>
      <c r="D33" s="25" t="s">
        <v>1158</v>
      </c>
      <c r="E33" s="25"/>
    </row>
    <row r="34" ht="15.75" customHeight="1">
      <c r="A34" s="25" t="s">
        <v>1192</v>
      </c>
      <c r="B34" s="25" t="s">
        <v>1193</v>
      </c>
      <c r="C34" s="25" t="s">
        <v>1193</v>
      </c>
      <c r="D34" s="25" t="s">
        <v>250</v>
      </c>
      <c r="E34" s="25"/>
    </row>
    <row r="35" ht="15.75" customHeight="1">
      <c r="A35" s="25" t="s">
        <v>111</v>
      </c>
      <c r="B35" s="25" t="s">
        <v>1194</v>
      </c>
      <c r="C35" s="25" t="s">
        <v>1195</v>
      </c>
      <c r="D35" s="25" t="s">
        <v>1196</v>
      </c>
      <c r="E35" s="25"/>
    </row>
    <row r="36" ht="15.75" customHeight="1">
      <c r="A36" s="25" t="s">
        <v>1197</v>
      </c>
      <c r="B36" s="25" t="s">
        <v>1198</v>
      </c>
      <c r="C36" s="25" t="s">
        <v>1199</v>
      </c>
      <c r="D36" s="25" t="s">
        <v>116</v>
      </c>
      <c r="E36" s="25"/>
    </row>
    <row r="37" ht="15.75" customHeight="1">
      <c r="A37" s="25" t="s">
        <v>1200</v>
      </c>
      <c r="B37" s="25" t="s">
        <v>1201</v>
      </c>
      <c r="C37" s="25" t="s">
        <v>1201</v>
      </c>
      <c r="D37" s="25" t="s">
        <v>142</v>
      </c>
      <c r="E37" s="25"/>
    </row>
    <row r="38" ht="15.75" customHeight="1">
      <c r="A38" s="25" t="s">
        <v>1202</v>
      </c>
      <c r="B38" s="25" t="s">
        <v>1203</v>
      </c>
      <c r="C38" s="25" t="s">
        <v>1203</v>
      </c>
      <c r="D38" s="25" t="s">
        <v>1204</v>
      </c>
      <c r="E38" s="25"/>
    </row>
    <row r="39" ht="15.75" customHeight="1">
      <c r="A39" s="25" t="s">
        <v>1205</v>
      </c>
      <c r="B39" s="25" t="s">
        <v>1206</v>
      </c>
      <c r="C39" s="25" t="s">
        <v>1206</v>
      </c>
      <c r="D39" s="25"/>
      <c r="E39" s="25"/>
    </row>
    <row r="40" ht="15.75" customHeight="1">
      <c r="A40" s="25" t="s">
        <v>1207</v>
      </c>
      <c r="B40" s="25" t="s">
        <v>1208</v>
      </c>
      <c r="C40" s="25" t="s">
        <v>1208</v>
      </c>
      <c r="D40" s="25" t="s">
        <v>159</v>
      </c>
      <c r="E40" s="25"/>
    </row>
    <row r="41" ht="15.75" customHeight="1">
      <c r="A41" s="25" t="s">
        <v>1209</v>
      </c>
      <c r="B41" s="26">
        <v>45445.0</v>
      </c>
      <c r="C41" s="26">
        <v>45445.0</v>
      </c>
      <c r="D41" s="25" t="s">
        <v>1210</v>
      </c>
      <c r="E41" s="25"/>
    </row>
    <row r="42" ht="15.75" customHeight="1">
      <c r="A42" s="25" t="s">
        <v>331</v>
      </c>
      <c r="B42" s="25" t="s">
        <v>1211</v>
      </c>
      <c r="C42" s="25" t="s">
        <v>1211</v>
      </c>
      <c r="D42" s="25"/>
      <c r="E42" s="25"/>
    </row>
    <row r="43" ht="15.75" customHeight="1">
      <c r="A43" s="25" t="s">
        <v>58</v>
      </c>
      <c r="B43" s="25" t="s">
        <v>1212</v>
      </c>
      <c r="C43" s="25" t="s">
        <v>1212</v>
      </c>
      <c r="D43" s="25" t="s">
        <v>26</v>
      </c>
      <c r="E43" s="25"/>
    </row>
    <row r="44" ht="15.75" customHeight="1">
      <c r="A44" s="25" t="s">
        <v>1213</v>
      </c>
      <c r="B44" s="25" t="s">
        <v>1214</v>
      </c>
      <c r="C44" s="25" t="s">
        <v>1215</v>
      </c>
      <c r="D44" s="25" t="s">
        <v>159</v>
      </c>
      <c r="E44" s="25" t="s">
        <v>1216</v>
      </c>
    </row>
    <row r="45" ht="15.75" customHeight="1">
      <c r="A45" s="25" t="s">
        <v>1217</v>
      </c>
      <c r="B45" s="25" t="s">
        <v>1218</v>
      </c>
      <c r="C45" s="25" t="s">
        <v>1218</v>
      </c>
      <c r="D45" s="25" t="s">
        <v>159</v>
      </c>
      <c r="E45" s="25"/>
    </row>
    <row r="46" ht="15.75" customHeight="1">
      <c r="A46" s="25" t="s">
        <v>1219</v>
      </c>
      <c r="B46" s="25" t="s">
        <v>1220</v>
      </c>
      <c r="C46" s="25" t="s">
        <v>1221</v>
      </c>
      <c r="D46" s="25" t="s">
        <v>159</v>
      </c>
      <c r="E46" s="25"/>
    </row>
    <row r="47" ht="15.75" customHeight="1">
      <c r="A47" s="25" t="s">
        <v>79</v>
      </c>
      <c r="B47" s="25" t="s">
        <v>1221</v>
      </c>
      <c r="C47" s="25" t="s">
        <v>1221</v>
      </c>
      <c r="D47" s="25" t="s">
        <v>159</v>
      </c>
      <c r="E47" s="25"/>
    </row>
    <row r="48" ht="15.75" customHeight="1">
      <c r="A48" s="25" t="s">
        <v>1222</v>
      </c>
      <c r="B48" s="25" t="s">
        <v>1223</v>
      </c>
      <c r="C48" s="25" t="s">
        <v>1223</v>
      </c>
      <c r="D48" s="25" t="s">
        <v>159</v>
      </c>
      <c r="E48" s="25"/>
    </row>
    <row r="49" ht="15.75" customHeight="1">
      <c r="A49" s="25" t="s">
        <v>1224</v>
      </c>
      <c r="B49" s="25" t="s">
        <v>1225</v>
      </c>
      <c r="C49" s="25" t="s">
        <v>1225</v>
      </c>
      <c r="D49" s="25" t="s">
        <v>159</v>
      </c>
      <c r="E49" s="25"/>
    </row>
    <row r="50" ht="15.75" customHeight="1">
      <c r="A50" s="25" t="s">
        <v>260</v>
      </c>
      <c r="B50" s="25" t="s">
        <v>1226</v>
      </c>
      <c r="C50" s="25" t="s">
        <v>1226</v>
      </c>
      <c r="D50" s="25" t="s">
        <v>159</v>
      </c>
      <c r="E50" s="25"/>
    </row>
    <row r="51" ht="15.75" customHeight="1">
      <c r="A51" s="25" t="s">
        <v>84</v>
      </c>
      <c r="B51" s="26">
        <v>45540.0</v>
      </c>
      <c r="C51" s="26">
        <v>45540.0</v>
      </c>
      <c r="D51" s="25" t="s">
        <v>85</v>
      </c>
      <c r="E51" s="25"/>
    </row>
    <row r="52" ht="15.75" customHeight="1">
      <c r="A52" s="25" t="s">
        <v>1227</v>
      </c>
      <c r="B52" s="26">
        <v>45604.0</v>
      </c>
      <c r="C52" s="26">
        <v>45604.0</v>
      </c>
      <c r="D52" s="25" t="s">
        <v>26</v>
      </c>
      <c r="E52" s="25"/>
    </row>
    <row r="53" ht="15.75" customHeight="1">
      <c r="A53" s="25" t="s">
        <v>183</v>
      </c>
      <c r="B53" s="25" t="s">
        <v>1228</v>
      </c>
      <c r="C53" s="25" t="s">
        <v>1228</v>
      </c>
      <c r="D53" s="25" t="s">
        <v>159</v>
      </c>
      <c r="E53" s="25" t="s">
        <v>1229</v>
      </c>
    </row>
    <row r="54" ht="15.75" customHeight="1">
      <c r="A54" s="25" t="s">
        <v>1230</v>
      </c>
      <c r="B54" s="25" t="s">
        <v>1231</v>
      </c>
      <c r="C54" s="25" t="s">
        <v>1231</v>
      </c>
      <c r="D54" s="25" t="s">
        <v>142</v>
      </c>
      <c r="E54" s="25"/>
    </row>
    <row r="55" ht="15.75" customHeight="1">
      <c r="A55" s="25" t="s">
        <v>1232</v>
      </c>
      <c r="B55" s="25" t="s">
        <v>1231</v>
      </c>
      <c r="C55" s="25" t="s">
        <v>1231</v>
      </c>
      <c r="D55" s="25" t="s">
        <v>142</v>
      </c>
      <c r="E55" s="25"/>
    </row>
    <row r="56" ht="15.75" customHeight="1">
      <c r="A56" s="25" t="s">
        <v>192</v>
      </c>
      <c r="B56" s="25" t="s">
        <v>1233</v>
      </c>
      <c r="C56" s="25" t="s">
        <v>1233</v>
      </c>
      <c r="D56" s="25" t="s">
        <v>142</v>
      </c>
      <c r="E56" s="25" t="s">
        <v>1234</v>
      </c>
    </row>
    <row r="57" ht="15.75" customHeight="1">
      <c r="A57" s="25" t="s">
        <v>194</v>
      </c>
      <c r="B57" s="25" t="s">
        <v>1235</v>
      </c>
      <c r="C57" s="25" t="s">
        <v>1235</v>
      </c>
      <c r="D57" s="25" t="s">
        <v>36</v>
      </c>
      <c r="E57" s="25"/>
    </row>
    <row r="58" ht="15.75" customHeight="1">
      <c r="A58" s="25" t="s">
        <v>196</v>
      </c>
      <c r="B58" s="25" t="s">
        <v>1236</v>
      </c>
      <c r="C58" s="25" t="s">
        <v>1236</v>
      </c>
      <c r="D58" s="25" t="s">
        <v>36</v>
      </c>
      <c r="E58" s="25"/>
    </row>
    <row r="59" ht="15.75" customHeight="1">
      <c r="A59" s="25" t="s">
        <v>198</v>
      </c>
      <c r="B59" s="26">
        <v>45353.0</v>
      </c>
      <c r="C59" s="26">
        <v>45353.0</v>
      </c>
      <c r="D59" s="25" t="s">
        <v>36</v>
      </c>
      <c r="E59" s="25"/>
    </row>
    <row r="60" ht="15.75" customHeight="1">
      <c r="A60" s="25" t="s">
        <v>1237</v>
      </c>
      <c r="B60" s="25" t="s">
        <v>1238</v>
      </c>
      <c r="C60" s="25" t="s">
        <v>1238</v>
      </c>
      <c r="D60" s="25"/>
      <c r="E60" s="25"/>
    </row>
    <row r="61" ht="15.75" customHeight="1">
      <c r="A61" s="25" t="s">
        <v>1239</v>
      </c>
      <c r="B61" s="25" t="s">
        <v>1240</v>
      </c>
      <c r="C61" s="25" t="s">
        <v>1240</v>
      </c>
      <c r="D61" s="25" t="s">
        <v>142</v>
      </c>
      <c r="E61" s="25"/>
    </row>
    <row r="62" ht="15.75" customHeight="1">
      <c r="A62" s="25" t="s">
        <v>1241</v>
      </c>
      <c r="B62" s="25" t="s">
        <v>1242</v>
      </c>
      <c r="C62" s="25" t="s">
        <v>1242</v>
      </c>
      <c r="D62" s="25" t="s">
        <v>159</v>
      </c>
      <c r="E62" s="25"/>
    </row>
    <row r="63" ht="15.75" customHeight="1">
      <c r="A63" s="25" t="s">
        <v>1243</v>
      </c>
      <c r="B63" s="25" t="s">
        <v>1244</v>
      </c>
      <c r="C63" s="25" t="s">
        <v>1244</v>
      </c>
      <c r="D63" s="25" t="s">
        <v>1196</v>
      </c>
      <c r="E63" s="25"/>
    </row>
    <row r="64" ht="15.75" customHeight="1">
      <c r="A64" s="25" t="s">
        <v>1245</v>
      </c>
      <c r="B64" s="25" t="s">
        <v>1246</v>
      </c>
      <c r="C64" s="25" t="s">
        <v>1246</v>
      </c>
      <c r="D64" s="25" t="s">
        <v>159</v>
      </c>
      <c r="E64" s="25"/>
    </row>
    <row r="65" ht="15.75" customHeight="1">
      <c r="A65" s="25" t="s">
        <v>1247</v>
      </c>
      <c r="B65" s="25" t="s">
        <v>1248</v>
      </c>
      <c r="C65" s="25" t="s">
        <v>1248</v>
      </c>
      <c r="D65" s="25" t="s">
        <v>1249</v>
      </c>
      <c r="E65" s="25"/>
    </row>
    <row r="66" ht="15.75" customHeight="1">
      <c r="A66" s="25" t="s">
        <v>1250</v>
      </c>
      <c r="B66" s="25" t="s">
        <v>1251</v>
      </c>
      <c r="C66" s="25" t="s">
        <v>1251</v>
      </c>
      <c r="D66" s="25" t="s">
        <v>1252</v>
      </c>
      <c r="E66" s="25"/>
    </row>
    <row r="67" ht="15.75" customHeight="1">
      <c r="A67" s="25" t="s">
        <v>316</v>
      </c>
      <c r="B67" s="25" t="s">
        <v>1253</v>
      </c>
      <c r="C67" s="25" t="s">
        <v>1253</v>
      </c>
      <c r="D67" s="25" t="s">
        <v>159</v>
      </c>
      <c r="E67" s="25"/>
    </row>
    <row r="68" ht="15.75" customHeight="1">
      <c r="A68" s="25" t="s">
        <v>218</v>
      </c>
      <c r="B68" s="25" t="s">
        <v>1254</v>
      </c>
      <c r="C68" s="25" t="s">
        <v>1254</v>
      </c>
      <c r="D68" s="25" t="s">
        <v>219</v>
      </c>
      <c r="E68" s="25"/>
    </row>
    <row r="69" ht="15.75" customHeight="1">
      <c r="A69" s="25" t="s">
        <v>1110</v>
      </c>
      <c r="B69" s="25" t="s">
        <v>1255</v>
      </c>
      <c r="C69" s="25" t="s">
        <v>1255</v>
      </c>
      <c r="D69" s="25" t="s">
        <v>91</v>
      </c>
      <c r="E69" s="25"/>
    </row>
    <row r="70" ht="15.75" customHeight="1">
      <c r="A70" s="25" t="s">
        <v>1256</v>
      </c>
      <c r="B70" s="25" t="s">
        <v>1257</v>
      </c>
      <c r="C70" s="25" t="s">
        <v>1257</v>
      </c>
      <c r="D70" s="25" t="s">
        <v>91</v>
      </c>
      <c r="E70" s="25"/>
    </row>
    <row r="71" ht="15.75" customHeight="1">
      <c r="A71" s="25" t="s">
        <v>1108</v>
      </c>
      <c r="B71" s="25" t="s">
        <v>1258</v>
      </c>
      <c r="C71" s="25" t="s">
        <v>1258</v>
      </c>
      <c r="D71" s="25" t="s">
        <v>1171</v>
      </c>
      <c r="E71" s="25"/>
    </row>
    <row r="72" ht="15.75" customHeight="1">
      <c r="A72" s="25" t="s">
        <v>174</v>
      </c>
      <c r="B72" s="25" t="s">
        <v>1259</v>
      </c>
      <c r="C72" s="25" t="s">
        <v>1259</v>
      </c>
      <c r="D72" s="25" t="s">
        <v>159</v>
      </c>
      <c r="E72" s="25" t="s">
        <v>1260</v>
      </c>
    </row>
    <row r="73" ht="15.75" customHeight="1">
      <c r="A73" s="25" t="s">
        <v>1111</v>
      </c>
      <c r="B73" s="25" t="s">
        <v>1261</v>
      </c>
      <c r="C73" s="25" t="s">
        <v>1261</v>
      </c>
      <c r="D73" s="25" t="s">
        <v>1171</v>
      </c>
      <c r="E73" s="25"/>
    </row>
    <row r="74" ht="15.75" customHeight="1">
      <c r="A74" s="25" t="s">
        <v>165</v>
      </c>
      <c r="B74" s="25" t="s">
        <v>1262</v>
      </c>
      <c r="C74" s="25" t="s">
        <v>1262</v>
      </c>
      <c r="D74" s="25" t="s">
        <v>1204</v>
      </c>
      <c r="E74" s="25"/>
    </row>
    <row r="75" ht="15.75" customHeight="1">
      <c r="A75" s="25" t="s">
        <v>168</v>
      </c>
      <c r="B75" s="25" t="s">
        <v>1263</v>
      </c>
      <c r="C75" s="25" t="s">
        <v>1263</v>
      </c>
      <c r="D75" s="25" t="s">
        <v>1204</v>
      </c>
      <c r="E75" s="25"/>
    </row>
    <row r="76" ht="15.75" customHeight="1">
      <c r="A76" s="25" t="s">
        <v>170</v>
      </c>
      <c r="B76" s="25" t="s">
        <v>1264</v>
      </c>
      <c r="C76" s="25" t="s">
        <v>1264</v>
      </c>
      <c r="D76" s="25" t="s">
        <v>1204</v>
      </c>
      <c r="E76" s="25" t="s">
        <v>1265</v>
      </c>
    </row>
    <row r="77" ht="15.75" customHeight="1">
      <c r="A77" s="25" t="s">
        <v>163</v>
      </c>
      <c r="B77" s="25" t="s">
        <v>1266</v>
      </c>
      <c r="C77" s="25" t="s">
        <v>1266</v>
      </c>
      <c r="D77" s="25" t="s">
        <v>159</v>
      </c>
      <c r="E77" s="25" t="s">
        <v>1267</v>
      </c>
    </row>
    <row r="78" ht="15.75" customHeight="1">
      <c r="A78" s="25" t="s">
        <v>1268</v>
      </c>
      <c r="B78" s="25" t="s">
        <v>1269</v>
      </c>
      <c r="C78" s="25" t="s">
        <v>1269</v>
      </c>
      <c r="D78" s="25" t="s">
        <v>1171</v>
      </c>
      <c r="E78" s="25"/>
    </row>
    <row r="79" ht="15.75" customHeight="1">
      <c r="A79" s="25" t="s">
        <v>1270</v>
      </c>
      <c r="B79" s="25" t="s">
        <v>1271</v>
      </c>
      <c r="C79" s="25" t="s">
        <v>1271</v>
      </c>
      <c r="D79" s="25" t="s">
        <v>1171</v>
      </c>
      <c r="E79" s="25"/>
    </row>
    <row r="80" ht="15.75" customHeight="1">
      <c r="A80" s="25" t="s">
        <v>1272</v>
      </c>
      <c r="B80" s="25" t="s">
        <v>1273</v>
      </c>
      <c r="C80" s="25" t="s">
        <v>1273</v>
      </c>
      <c r="D80" s="25" t="s">
        <v>1171</v>
      </c>
      <c r="E80" s="25"/>
    </row>
    <row r="81" ht="15.75" customHeight="1">
      <c r="A81" s="25" t="s">
        <v>247</v>
      </c>
      <c r="B81" s="25" t="s">
        <v>1274</v>
      </c>
      <c r="C81" s="25" t="s">
        <v>1274</v>
      </c>
      <c r="D81" s="25" t="s">
        <v>1171</v>
      </c>
      <c r="E81" s="25"/>
    </row>
    <row r="82" ht="15.75" customHeight="1">
      <c r="A82" s="25" t="s">
        <v>1275</v>
      </c>
      <c r="B82" s="25" t="s">
        <v>1276</v>
      </c>
      <c r="C82" s="25" t="s">
        <v>1276</v>
      </c>
      <c r="D82" s="25" t="s">
        <v>1171</v>
      </c>
      <c r="E82" s="25"/>
    </row>
    <row r="83" ht="15.75" customHeight="1">
      <c r="A83" s="25" t="s">
        <v>1277</v>
      </c>
      <c r="B83" s="25" t="s">
        <v>1278</v>
      </c>
      <c r="C83" s="25" t="s">
        <v>1278</v>
      </c>
      <c r="D83" s="25" t="s">
        <v>1171</v>
      </c>
      <c r="E83" s="25" t="s">
        <v>1279</v>
      </c>
    </row>
    <row r="84" ht="15.75" customHeight="1">
      <c r="A84" s="25" t="s">
        <v>1280</v>
      </c>
      <c r="B84" s="25" t="s">
        <v>1281</v>
      </c>
      <c r="C84" s="25" t="s">
        <v>1281</v>
      </c>
      <c r="D84" s="25" t="s">
        <v>142</v>
      </c>
      <c r="E84" s="25"/>
    </row>
    <row r="85" ht="15.75" customHeight="1">
      <c r="A85" s="25" t="s">
        <v>1282</v>
      </c>
      <c r="B85" s="25" t="s">
        <v>1283</v>
      </c>
      <c r="C85" s="25" t="s">
        <v>1283</v>
      </c>
      <c r="D85" s="25" t="s">
        <v>142</v>
      </c>
      <c r="E85" s="25" t="s">
        <v>1284</v>
      </c>
    </row>
    <row r="86" ht="15.75" customHeight="1">
      <c r="A86" s="25" t="s">
        <v>1285</v>
      </c>
      <c r="B86" s="25" t="s">
        <v>1286</v>
      </c>
      <c r="C86" s="25" t="s">
        <v>1286</v>
      </c>
      <c r="D86" s="25"/>
      <c r="E86" s="25"/>
    </row>
    <row r="87" ht="15.75" customHeight="1">
      <c r="A87" s="25" t="s">
        <v>50</v>
      </c>
      <c r="B87" s="25" t="s">
        <v>1287</v>
      </c>
      <c r="C87" s="25" t="s">
        <v>1288</v>
      </c>
      <c r="D87" s="25" t="s">
        <v>159</v>
      </c>
      <c r="E87" s="25"/>
    </row>
    <row r="88" ht="15.75" customHeight="1">
      <c r="A88" s="25" t="s">
        <v>1289</v>
      </c>
      <c r="B88" s="25" t="s">
        <v>1290</v>
      </c>
      <c r="C88" s="25" t="s">
        <v>1291</v>
      </c>
      <c r="D88" s="25" t="s">
        <v>1292</v>
      </c>
      <c r="E88" s="25" t="s">
        <v>1293</v>
      </c>
    </row>
    <row r="89" ht="15.75" customHeight="1">
      <c r="A89" s="25" t="s">
        <v>1294</v>
      </c>
      <c r="B89" s="25" t="s">
        <v>1295</v>
      </c>
      <c r="C89" s="25" t="s">
        <v>1296</v>
      </c>
      <c r="D89" s="25" t="s">
        <v>1292</v>
      </c>
      <c r="E89" s="25"/>
    </row>
    <row r="90" ht="15.75" customHeight="1">
      <c r="A90" s="25" t="s">
        <v>1297</v>
      </c>
      <c r="B90" s="25" t="s">
        <v>1298</v>
      </c>
      <c r="C90" s="25" t="s">
        <v>1299</v>
      </c>
      <c r="D90" s="25" t="s">
        <v>1171</v>
      </c>
      <c r="E90" s="25"/>
    </row>
    <row r="91" ht="15.75" customHeight="1">
      <c r="A91" s="25" t="s">
        <v>1300</v>
      </c>
      <c r="B91" s="25" t="s">
        <v>1238</v>
      </c>
      <c r="C91" s="25" t="s">
        <v>1238</v>
      </c>
      <c r="D91" s="25" t="s">
        <v>1210</v>
      </c>
      <c r="E91" s="25"/>
    </row>
    <row r="92" ht="15.75" customHeight="1">
      <c r="A92" s="25" t="s">
        <v>1301</v>
      </c>
      <c r="B92" s="25" t="s">
        <v>1302</v>
      </c>
      <c r="C92" s="25" t="s">
        <v>1302</v>
      </c>
      <c r="D92" s="25" t="s">
        <v>219</v>
      </c>
      <c r="E92" s="25"/>
    </row>
    <row r="93" ht="15.75" customHeight="1">
      <c r="A93" s="25" t="s">
        <v>1303</v>
      </c>
      <c r="B93" s="25" t="s">
        <v>1304</v>
      </c>
      <c r="C93" s="25" t="s">
        <v>1304</v>
      </c>
      <c r="D93" s="25" t="s">
        <v>1292</v>
      </c>
      <c r="E93" s="25"/>
    </row>
    <row r="94" ht="15.75" customHeight="1">
      <c r="A94" s="25" t="s">
        <v>212</v>
      </c>
      <c r="B94" s="25" t="s">
        <v>1305</v>
      </c>
      <c r="C94" s="25" t="s">
        <v>1305</v>
      </c>
      <c r="D94" s="25" t="s">
        <v>1171</v>
      </c>
      <c r="E94" s="25"/>
    </row>
    <row r="95" ht="15.75" customHeight="1">
      <c r="A95" s="25" t="s">
        <v>1306</v>
      </c>
      <c r="B95" s="25" t="s">
        <v>1307</v>
      </c>
      <c r="C95" s="25" t="s">
        <v>1307</v>
      </c>
      <c r="D95" s="25" t="s">
        <v>1308</v>
      </c>
      <c r="E95" s="25"/>
    </row>
    <row r="96" ht="15.75" customHeight="1">
      <c r="A96" s="25" t="s">
        <v>1309</v>
      </c>
      <c r="B96" s="25" t="s">
        <v>1307</v>
      </c>
      <c r="C96" s="25" t="s">
        <v>1307</v>
      </c>
      <c r="D96" s="25" t="s">
        <v>1308</v>
      </c>
    </row>
    <row r="97" ht="15.75" customHeight="1">
      <c r="A97" s="27"/>
    </row>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